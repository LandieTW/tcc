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2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igicorner.sharepoint.com/sites/SubseaEngineering/Nuvem 20/01-SKA/01-PEs/2024/PE-08-24-34-SAB_PO_7-TUP-125-RJS_FPSO CIDADE DE MANGARATIBA/02-Verificacoes e Calculos/03-Analises/RT-3187-CVD/Dados/"/>
    </mc:Choice>
  </mc:AlternateContent>
  <xr:revisionPtr revIDLastSave="9" documentId="8_{8916F98C-9ADD-4235-B985-62F28EF1F0E9}" xr6:coauthVersionLast="47" xr6:coauthVersionMax="47" xr10:uidLastSave="{695868DB-798E-4C34-A9AB-30D84A780E04}"/>
  <bookViews>
    <workbookView xWindow="28680" yWindow="-120" windowWidth="29040" windowHeight="15840" tabRatio="720" xr2:uid="{6C47E45F-0258-4A17-9DAD-C07BAD8758D7}"/>
  </bookViews>
  <sheets>
    <sheet name="CVD, CHD ou DCVD" sheetId="2" r:id="rId1"/>
  </sheets>
  <externalReferences>
    <externalReference r:id="rId2"/>
    <externalReference r:id="rId3"/>
    <externalReference r:id="rId4"/>
    <externalReference r:id="rId5"/>
  </externalReferences>
  <definedNames>
    <definedName name="Aba_Carregamento">#REF!,#REF!,#REF!,#REF!,#REF!</definedName>
    <definedName name="Aba_Conexoes">#REF!,#REF!</definedName>
    <definedName name="Aba_RT" localSheetId="0">#REF!,#REF!,#REF!,#REF!</definedName>
    <definedName name="Abandono_de_2ª">#REF!</definedName>
    <definedName name="Acessorios_Aneis">#REF!</definedName>
    <definedName name="Acessorios_Manilhas" localSheetId="0">#REF!</definedName>
    <definedName name="Acessorios_Manilhas">#REF!</definedName>
    <definedName name="Acessorios1" localSheetId="0">#REF!</definedName>
    <definedName name="Acessorios1">#REF!</definedName>
    <definedName name="agua_oleosa">#REF!</definedName>
    <definedName name="alpha" localSheetId="0">#REF!</definedName>
    <definedName name="alpha">#REF!</definedName>
    <definedName name="Anel_Crosby_A_342">#REF!</definedName>
    <definedName name="Anel_Crosby_A_345">#REF!</definedName>
    <definedName name="Anel_GN_Rope_SC1">#REF!</definedName>
    <definedName name="Anel_GN_Rope_SC5">#REF!</definedName>
    <definedName name="Anel_Gunnebo_M_125T_10">#REF!</definedName>
    <definedName name="Anel_Gunnebo_M_3226_10">#REF!</definedName>
    <definedName name="Anel_Gunnebo_M_3632_10">#REF!</definedName>
    <definedName name="Anel_Gunnebo_MT_22_10">#REF!</definedName>
    <definedName name="Ang_A" localSheetId="0">#REF!</definedName>
    <definedName name="Ang_A">#REF!</definedName>
    <definedName name="Ang_B" localSheetId="0">#REF!</definedName>
    <definedName name="Ang_B">#REF!</definedName>
    <definedName name="apagar">#REF!</definedName>
    <definedName name="Aprovador_do_PE">#REF!</definedName>
    <definedName name="area_MD">#REF!</definedName>
    <definedName name="aux_01">#REF!</definedName>
    <definedName name="aux_02">#REF!</definedName>
    <definedName name="Aval_cliente">#REF!</definedName>
    <definedName name="Aval_elaborador">#REF!</definedName>
    <definedName name="Aval_MD_num">#REF!</definedName>
    <definedName name="Aval_MD_rev">#REF!</definedName>
    <definedName name="Aval_TQF_tabela">#REF!</definedName>
    <definedName name="B1_UEP">#REF!</definedName>
    <definedName name="B3_UEP">#REF!</definedName>
    <definedName name="B4_UEP">#REF!</definedName>
    <definedName name="beta" localSheetId="0">#REF!</definedName>
    <definedName name="beta">#REF!</definedName>
    <definedName name="BT_300_Cheia">#REF!</definedName>
    <definedName name="BT_300_Vazia">#REF!</definedName>
    <definedName name="BT_650_Cheia">#REF!</definedName>
    <definedName name="BT_650_Vazia">#REF!</definedName>
    <definedName name="Calcs_Adicionais">#REF!,#REF!,#REF!,#REF!,#REF!,#REF!,#REF!,#REF!,#REF!,#REF!,#REF!,#REF!,#REF!,#REF!,#REF!,#REF!</definedName>
    <definedName name="Carga">#REF!</definedName>
    <definedName name="Carga_SKs">#REF!</definedName>
    <definedName name="Cargas_num_IFEP">#REF!</definedName>
    <definedName name="Cargas_num_OFEP">#REF!</definedName>
    <definedName name="Cargas_prazo_IFEP">#REF!</definedName>
    <definedName name="Cargas_rev_IFEP">#REF!</definedName>
    <definedName name="Categ1">#REF!</definedName>
    <definedName name="Categ10">#REF!</definedName>
    <definedName name="Categ11">#REF!</definedName>
    <definedName name="Categ12">#REF!</definedName>
    <definedName name="Categ13">#REF!</definedName>
    <definedName name="Categ14">#REF!</definedName>
    <definedName name="Categ15">#REF!</definedName>
    <definedName name="Categ16">#REF!</definedName>
    <definedName name="Categ17">#REF!</definedName>
    <definedName name="Categ2">#REF!</definedName>
    <definedName name="Categ3">#REF!</definedName>
    <definedName name="Categ4">#REF!</definedName>
    <definedName name="Categ5">#REF!</definedName>
    <definedName name="Categ6">#REF!</definedName>
    <definedName name="Categ7">#REF!</definedName>
    <definedName name="Categ8">#REF!</definedName>
    <definedName name="Categ9">#REF!</definedName>
    <definedName name="CB_UEP">#REF!</definedName>
    <definedName name="CheckRevPE">#REF!</definedName>
    <definedName name="Coment1">#REF!</definedName>
    <definedName name="Coment10">#REF!</definedName>
    <definedName name="Coment11">#REF!</definedName>
    <definedName name="Coment12">#REF!</definedName>
    <definedName name="Coment13">#REF!</definedName>
    <definedName name="Coment14">#REF!</definedName>
    <definedName name="Coment15">#REF!</definedName>
    <definedName name="Coment16">#REF!</definedName>
    <definedName name="Coment17">#REF!</definedName>
    <definedName name="Coment2">#REF!</definedName>
    <definedName name="Coment3">#REF!</definedName>
    <definedName name="Coment4">#REF!</definedName>
    <definedName name="Coment5">#REF!</definedName>
    <definedName name="Coment6">#REF!</definedName>
    <definedName name="Coment7">#REF!</definedName>
    <definedName name="Coment8">#REF!</definedName>
    <definedName name="Coment9">#REF!</definedName>
    <definedName name="comp_AR" localSheetId="0">#REF!</definedName>
    <definedName name="comp_AR">#REF!</definedName>
    <definedName name="compS" localSheetId="0">#REF!</definedName>
    <definedName name="compS">#REF!</definedName>
    <definedName name="conector" localSheetId="0">[1]Input!$U$4:$U$22</definedName>
    <definedName name="Conector">#REF!</definedName>
    <definedName name="Conector_SKs">#REF!</definedName>
    <definedName name="ConPri">"Picture 139,Picture"</definedName>
    <definedName name="Contrato_TOP">#REF!</definedName>
    <definedName name="CRITÉRIO_ATIV_INT" comment="Modificar para alterar o critério da atividade interrompida">"Não"</definedName>
    <definedName name="CRITÉRIO_DESCONSIDERAR" comment="Modificar para alterar o critério de desconsiderar">"&lt;&gt;1"</definedName>
    <definedName name="CRITÉRIO_STATUS" comment="Modificar para alterar o critério de status">"Concluída"</definedName>
    <definedName name="D_1" localSheetId="0">#REF!</definedName>
    <definedName name="D_1">#REF!</definedName>
    <definedName name="D_2" localSheetId="0">#REF!</definedName>
    <definedName name="D_2">#REF!</definedName>
    <definedName name="Data_atualizacao">#REF!</definedName>
    <definedName name="data_capa_PE">#REF!</definedName>
    <definedName name="DESENHO_NUM" localSheetId="0">#REF!</definedName>
    <definedName name="DESENHO_NUM_SK">#REF!</definedName>
    <definedName name="DESENHO_NUM2" localSheetId="0">#REF!</definedName>
    <definedName name="DESENHO_NUM2_SK">#REF!</definedName>
    <definedName name="DESENHO_NUM3" localSheetId="0">#REF!</definedName>
    <definedName name="DESENHO_NUM3">#REF!</definedName>
    <definedName name="DESENHO_NUM3_SK">#REF!</definedName>
    <definedName name="Dia_01">#REF!</definedName>
    <definedName name="Dia_01_SKs">#REF!</definedName>
    <definedName name="Dia_02">#REF!</definedName>
    <definedName name="Dia_02_SKs">#REF!</definedName>
    <definedName name="Dia_03">#REF!</definedName>
    <definedName name="Dia_03_SKs">#REF!</definedName>
    <definedName name="Dia_04">#REF!</definedName>
    <definedName name="Dia_04_SKs">#REF!</definedName>
    <definedName name="Dia_05">#REF!</definedName>
    <definedName name="Dia_05_SKs">#REF!</definedName>
    <definedName name="Dia_06" localSheetId="0">#REF!</definedName>
    <definedName name="Dia_06">#REF!</definedName>
    <definedName name="dia_int" localSheetId="0">#REF!</definedName>
    <definedName name="Dimensoes">#REF!</definedName>
    <definedName name="elaborador">#REF!</definedName>
    <definedName name="Elaborador_do_PE">#REF!</definedName>
    <definedName name="ELRS_UEP">#REF!</definedName>
    <definedName name="Email_PB">#REF!</definedName>
    <definedName name="EmailPB">#REF!</definedName>
    <definedName name="ERT_UEP">#REF!</definedName>
    <definedName name="Estudo_similar_MCV">#REF!</definedName>
    <definedName name="Estudo_similar_MCVT">#REF!</definedName>
    <definedName name="FAD" localSheetId="0">#REF!</definedName>
    <definedName name="FAD">#REF!</definedName>
    <definedName name="FerramentaIK_50_ton">#REF!</definedName>
    <definedName name="FI_DATA_ATUALIZACAO">#N/A</definedName>
    <definedName name="Filtro_listados">OFFSET('[2]Viabilidade P.Chave'!$C$2,0,0,COUNTA([2]!Table7[Palavra-chave]))</definedName>
    <definedName name="Fim_Agua_Oleosa">#REF!</definedName>
    <definedName name="Fim_Ancoragem_Provisória">#REF!</definedName>
    <definedName name="Fim_Aperto_IMECA">#REF!</definedName>
    <definedName name="Fim_ApertoMax">#REF!</definedName>
    <definedName name="Fim_Auto_Ancoragem">#REF!</definedName>
    <definedName name="Fim_Bombonas_HW">#REF!</definedName>
    <definedName name="Fim_Bota_de_Araldite">#REF!</definedName>
    <definedName name="Fim_Calculo_PM">#REF!</definedName>
    <definedName name="Fim_CateSimples">#REF!</definedName>
    <definedName name="Fim_check_op">#REF!</definedName>
    <definedName name="Fim_Coinc_Pass">#REF!</definedName>
    <definedName name="Fim_Coinc_Pass_sk">#REF!</definedName>
    <definedName name="Fim_Comp_Track">#REF!</definedName>
    <definedName name="Fim_Comprimento_Itube">#REF!</definedName>
    <definedName name="Fim_ComprimentoMin_Overlength">#REF!</definedName>
    <definedName name="Fim_Dimensionamento_Lingada_estaiamento">#REF!</definedName>
    <definedName name="Fim_Ferramenta_IK">#REF!</definedName>
    <definedName name="Fim_Insertos_SKs_1">#REF!</definedName>
    <definedName name="Fim_Insertos_SKs_2">#REF!</definedName>
    <definedName name="Fim_Interface_IAS">#REF!</definedName>
    <definedName name="Fim_Janela_Manobra">#REF!</definedName>
    <definedName name="Fim_Janela_Manobra_sk">#REF!</definedName>
    <definedName name="Fim_Janela_Manobra_SKOR">#REF!</definedName>
    <definedName name="Fim_LDA_bocadesino">#REF!</definedName>
    <definedName name="Fim_MCV_Típico">#REF!</definedName>
    <definedName name="Fim_Pullin1">#REF!</definedName>
    <definedName name="Fim_Pullin2">#REF!</definedName>
    <definedName name="Fim_renomear_tramo">#REF!</definedName>
    <definedName name="Fim_Tab_Lançamento">#REF!</definedName>
    <definedName name="Fim_Tab_Lançamento_2">#REF!</definedName>
    <definedName name="Fim_Tabela_PE">#REF!</definedName>
    <definedName name="Fim_Tensão_Contato">#REF!</definedName>
    <definedName name="FIm_Tensao_Guincho_Cesta">L815C2</definedName>
    <definedName name="Fim_Tensao_Max_Guincho_Cesta">#REF!</definedName>
    <definedName name="Fim_Verificacao_Montagem_Flutuadores">#REF!</definedName>
    <definedName name="Fim_VerifOD">#REF!</definedName>
    <definedName name="Final_email_SKs">#REF!</definedName>
    <definedName name="Final_Inserto">#REF!</definedName>
    <definedName name="Final_Inserto_2">#REF!</definedName>
    <definedName name="Final_Inserto_Fix_SKs_1">#REF!</definedName>
    <definedName name="Final_Inserto_Fix_SKs_2">#REF!</definedName>
    <definedName name="Final_Inserto_SKs">#REF!</definedName>
    <definedName name="Final_Inserto_Var_SKs_1">#REF!</definedName>
    <definedName name="Final_Inserto_Var_SKs_2">#REF!</definedName>
    <definedName name="Fluxo_campo">#REF!</definedName>
    <definedName name="Fluxo_Cod_IOS">#REF!</definedName>
    <definedName name="Fluxo_Desenvolvimento">#REF!,#REF!,#REF!,#REF!,#REF!,#REF!,#REF!,#REF!,#REF!,#REF!,#REF!</definedName>
    <definedName name="Fluxo_EmissaoPE">#REF!</definedName>
    <definedName name="Fluxo_entregagr">#REF!</definedName>
    <definedName name="Fluxo_expurgoTQF">#REF!</definedName>
    <definedName name="Fluxo_navio">#REF!</definedName>
    <definedName name="Fluxo_num_MD">#REF!</definedName>
    <definedName name="Fluxo_num_PE">#REF!</definedName>
    <definedName name="Fluxo_numgr">#REF!</definedName>
    <definedName name="Fluxo_numGRassociada">#REF!</definedName>
    <definedName name="Fluxo_numPEassociado">#REF!</definedName>
    <definedName name="Fluxo_poço">#REF!</definedName>
    <definedName name="Fluxo_poço2">#REF!</definedName>
    <definedName name="Fluxo_projeto">#REF!</definedName>
    <definedName name="Fluxo_recebimento_GR">#REF!</definedName>
    <definedName name="Fluxo_rev_MD">#REF!</definedName>
    <definedName name="Fluxo_rev_PE">#REF!</definedName>
    <definedName name="Fluxo_revgr">#REF!</definedName>
    <definedName name="Fluxo_revGRassociada">#REF!</definedName>
    <definedName name="Fluxo_revPEassociado">#REF!</definedName>
    <definedName name="Fluxo_titulo_MD">#REF!</definedName>
    <definedName name="Fluxo_TQF_enviadas">#REF!</definedName>
    <definedName name="Fluxo_TQF_enviadas_imp">#REF!</definedName>
    <definedName name="Fluxo_TQF_pendentes">#REF!</definedName>
    <definedName name="Fluxo_TQF_pendentes_imp">#REF!</definedName>
    <definedName name="Fluxo_TQF_respondidas">#REF!</definedName>
    <definedName name="Fluxo_TQF_respondidas_imp">#REF!</definedName>
    <definedName name="Fluxo_TQFS_Envio1">#REF!</definedName>
    <definedName name="Fluxo_TQFS_Envio10">#REF!</definedName>
    <definedName name="Fluxo_TQFS_Envio2">#REF!</definedName>
    <definedName name="Fluxo_TQFS_Envio3">#REF!</definedName>
    <definedName name="Fluxo_TQFS_Envio4">#REF!</definedName>
    <definedName name="Fluxo_TQFS_Envio5">#REF!</definedName>
    <definedName name="Fluxo_TQFS_Envio6">#REF!</definedName>
    <definedName name="Fluxo_TQFS_Envio7">#REF!</definedName>
    <definedName name="Fluxo_TQFS_Envio8">#REF!</definedName>
    <definedName name="Fluxo_TQFS_Envio9">#REF!</definedName>
    <definedName name="Fluxo_TQFS_Resposta1">#REF!</definedName>
    <definedName name="Fluxo_TQFS_Resposta10">#REF!</definedName>
    <definedName name="Fluxo_TQFS_Resposta2">#REF!</definedName>
    <definedName name="Fluxo_TQFS_Resposta3">#REF!</definedName>
    <definedName name="Fluxo_TQFS_Resposta4">#REF!</definedName>
    <definedName name="Fluxo_TQFS_Resposta5">#REF!</definedName>
    <definedName name="Fluxo_TQFS_Resposta6">#REF!</definedName>
    <definedName name="Fluxo_TQFS_Resposta7">#REF!</definedName>
    <definedName name="Fluxo_TQFS_Resposta8">#REF!</definedName>
    <definedName name="Fluxo_TQFS_Resposta9">#REF!</definedName>
    <definedName name="Fluxo_UEP">#REF!</definedName>
    <definedName name="h_02">#REF!</definedName>
    <definedName name="h_04">#REF!</definedName>
    <definedName name="I_tube" localSheetId="0">#REF!</definedName>
    <definedName name="ID_carregamento_SKS">#REF!</definedName>
    <definedName name="ID_carregamento_TOP">#REF!</definedName>
    <definedName name="ImportarPPs_linha">#REF!</definedName>
    <definedName name="Inici_Calc_SWL">#REF!</definedName>
    <definedName name="Início_01">#REF!</definedName>
    <definedName name="Início_01_SKs">#REF!</definedName>
    <definedName name="Início_02">#REF!</definedName>
    <definedName name="Início_02_SKs">#REF!</definedName>
    <definedName name="Inicio_Agua_Oleosa">#REF!</definedName>
    <definedName name="Inicio_Ancoragem_Provisória">#REF!</definedName>
    <definedName name="Inicio_Aperto_IMECA">#REF!</definedName>
    <definedName name="Inicio_ApertoMax">#REF!</definedName>
    <definedName name="Inicio_Auto_Ancoragem">#REF!</definedName>
    <definedName name="Inicio_Bombonas_HW">#REF!</definedName>
    <definedName name="Inicio_Bota_de_Araldite">#REF!</definedName>
    <definedName name="Inicio_Calc_SWL">#REF!</definedName>
    <definedName name="Inicio_Calculo_PM">#REF!</definedName>
    <definedName name="Inicio_CateSimples">#REF!</definedName>
    <definedName name="Inicio_check_op">#REF!</definedName>
    <definedName name="Inicio_Coinc_Pass">#REF!</definedName>
    <definedName name="Inicio_Coinc_Pass_sk">#REF!</definedName>
    <definedName name="Inicio_Comp_Track">#REF!</definedName>
    <definedName name="Inicio_Comprimento_Itube">#REF!</definedName>
    <definedName name="Inicio_ComprimentoMin_Overlength">#REF!</definedName>
    <definedName name="Inicio_Dimensionamento_Lingada_estaiamento">#REF!</definedName>
    <definedName name="Inicio_Ferramenta_IK">#REF!</definedName>
    <definedName name="Inicio_Guincho_Cesta">#REF!</definedName>
    <definedName name="Inicio_Insertos_SKs_1">#REF!</definedName>
    <definedName name="Inicio_Insertos_SKs_2">#REF!</definedName>
    <definedName name="Inicio_Interface_IAS">#REF!</definedName>
    <definedName name="Inicio_Janela_Manobra">#REF!</definedName>
    <definedName name="Inicio_Janela_Manobra_sk">#REF!</definedName>
    <definedName name="Inicio_Janela_Manobra_skor">#REF!</definedName>
    <definedName name="Inicio_Janela_Manobra_TOP">#REF!</definedName>
    <definedName name="Inicio_LDA_bocadesino">#REF!</definedName>
    <definedName name="Inicio_MCV_Típico">#REF!</definedName>
    <definedName name="Inicio_Pullin1">#REF!</definedName>
    <definedName name="Inicio_Pullin2">#REF!</definedName>
    <definedName name="Inicio_Recolhimento_Andamento">#REF!</definedName>
    <definedName name="Inicio_Recolhimento_CargasSKs">#REF!</definedName>
    <definedName name="Inicio_Recolhimento_Cronograma">#REF!</definedName>
    <definedName name="Inicio_Recolhimento_DadosProj">#REF!</definedName>
    <definedName name="Inicio_Recolhimento_DadosTramos">#REF!</definedName>
    <definedName name="Inicio_Recolhimento_Ferramentas">#REF!</definedName>
    <definedName name="Inicio_Recolhimento_LM">#REF!</definedName>
    <definedName name="Inicio_Recolhimento_ResumoTabelas">#REF!</definedName>
    <definedName name="Inicio_Recolhimento_Viabilidade">#REF!</definedName>
    <definedName name="Inicio_renomear_tramo">#REF!</definedName>
    <definedName name="Início_SKs_01">#REF!</definedName>
    <definedName name="Início_SKs_email">#REF!</definedName>
    <definedName name="Inicio_Tab_Lançamento">#REF!</definedName>
    <definedName name="Inicio_Tab_Lançamento_2">#REF!</definedName>
    <definedName name="Inicio_Tabela_PE">#REF!</definedName>
    <definedName name="Inicio_Tensão_Contato">#REF!</definedName>
    <definedName name="Inicio_Tensão_Max_Guincho_Cesta">#REF!</definedName>
    <definedName name="Inicio_Verificacao_Montagem_Flutuadores">#REF!</definedName>
    <definedName name="Inicio_VerifOD">#REF!</definedName>
    <definedName name="InicioTabelaLLs">#REF!</definedName>
    <definedName name="Inserto_Conector">#REF!</definedName>
    <definedName name="Inserto_Estrutura">#REF!</definedName>
    <definedName name="Inserto_linha_ref">#REF!</definedName>
    <definedName name="Inserto_SKs_linha_ref">#REF!</definedName>
    <definedName name="Insertos_SKs_email">#REF!</definedName>
    <definedName name="IP_PLSV_GRUPO" comment="Modificar para alterar os Grupos de PLSV">{"Grupo A";"Grupo B";"Grupo C"}</definedName>
    <definedName name="IP_QTD_ATIV" comment="Quantidade de atividades do IPO">COUNTA([3]!FI_atividades_ipo[Atividades])</definedName>
    <definedName name="IP_SPINNER">"Controle giratório 19"</definedName>
    <definedName name="IP_TIPO_IPO">"Instaladoras"</definedName>
    <definedName name="Itube_UEP">#REF!</definedName>
    <definedName name="JRA_PChave" localSheetId="0">OFFSET('[4]JRAs emitidas'!$B$3,0,0,COUNTA([4]!Table6[Palavra-Chave]))</definedName>
    <definedName name="JRA_PChave">OFFSET(#REF!,0,0,COUNTA(#REF!))</definedName>
    <definedName name="L_AB" localSheetId="0">#REF!</definedName>
    <definedName name="L_AB">#REF!</definedName>
    <definedName name="LA" localSheetId="0">#REF!</definedName>
    <definedName name="LA">#REF!</definedName>
    <definedName name="Lenght_CurvadeCargas">OFFSET(#REF!,,,COUNTA(#REF!))</definedName>
    <definedName name="Lenght_CurvadeCargas_critica">OFFSET(#REF!,,,COUNTA(#REF!))</definedName>
    <definedName name="Lenght_CurvadeCargas_min">OFFSET(#REF!,,,COUNTA(#REF!))</definedName>
    <definedName name="LiftPlan_Altura">#REF!</definedName>
    <definedName name="LiftPlan_Largura">#REF!</definedName>
    <definedName name="LiftPlan_Operação">#REF!</definedName>
    <definedName name="LiftPlan_Peso">#REF!</definedName>
    <definedName name="LiftPlan_Profundidade">#REF!</definedName>
    <definedName name="Linhas">#REF!</definedName>
    <definedName name="Link_Plate">#REF!</definedName>
    <definedName name="Lista_carregamento_SKS">#REF!</definedName>
    <definedName name="Lista_carregamento_TOP">#REF!</definedName>
    <definedName name="Manilha_Crosby_G_2130">#REF!</definedName>
    <definedName name="Manilha_Crosby_G_2140">#REF!</definedName>
    <definedName name="Manilha_Crosby_G_2140E">#REF!</definedName>
    <definedName name="Manilha_Crosby_G_2160">#REF!</definedName>
    <definedName name="Manilha_GN_Rope_H10">#REF!</definedName>
    <definedName name="Manilha_GN_Rope_H10_Super">#REF!</definedName>
    <definedName name="Manilha_GN_Rope_H14">#REF!</definedName>
    <definedName name="Manilha_Greenpin_G_5263">#REF!</definedName>
    <definedName name="Manilha_Greenpin_P_6036">#REF!</definedName>
    <definedName name="Manilha_Gunebo_P_6033">#REF!</definedName>
    <definedName name="Manilha_Gunebo_P_6036">#REF!</definedName>
    <definedName name="Manilha_Van_Beest_P_6033">#REF!</definedName>
    <definedName name="Manilhas">#REF!</definedName>
    <definedName name="MCV">#REF!</definedName>
    <definedName name="MCV_CG_hor">#REF!</definedName>
    <definedName name="MCV_CG_vert">#REF!</definedName>
    <definedName name="MCV_conector">#REF!</definedName>
    <definedName name="MCV_escopo">#REF!</definedName>
    <definedName name="MCV_peso">#REF!</definedName>
    <definedName name="MCVT">#REF!</definedName>
    <definedName name="MCVT_CG_hor">#REF!</definedName>
    <definedName name="MCVT_CG_vert">#REF!</definedName>
    <definedName name="MCVT_conector">#REF!</definedName>
    <definedName name="MCVT_escopo">#REF!</definedName>
    <definedName name="MCVT_Início_Andamento">#REF!</definedName>
    <definedName name="MCVT_Início_CálculosAdicionais">#REF!</definedName>
    <definedName name="MCVT_Início_Cargas">#REF!</definedName>
    <definedName name="MCVT_Início_Cronograma">#REF!</definedName>
    <definedName name="MCVT_Início_Ferramentas">#REF!</definedName>
    <definedName name="MCVT_Início_Inputs">#REF!</definedName>
    <definedName name="MCVT_Início_LM">#REF!</definedName>
    <definedName name="MCVT_Início_LP">#REF!</definedName>
    <definedName name="MCVT_Início_Resumo">#REF!</definedName>
    <definedName name="MCVT_Início_Torque">#REF!</definedName>
    <definedName name="MCVT_Início_Unifilar">#REF!</definedName>
    <definedName name="MCVT_Início_Viabilidade">#REF!</definedName>
    <definedName name="MCVT_peso">#REF!</definedName>
    <definedName name="MCVT_TQF">#REF!</definedName>
    <definedName name="ME_ANOMETA">2017</definedName>
    <definedName name="navio_capa_PE">#REF!</definedName>
    <definedName name="notificado" localSheetId="0">#REF!</definedName>
    <definedName name="notificado">#REF!</definedName>
    <definedName name="num_do_PE">#REF!</definedName>
    <definedName name="Numeração_LP">#REF!</definedName>
    <definedName name="numero_gr_acima_data">#REF!</definedName>
    <definedName name="Operação_MCVT">#REF!</definedName>
    <definedName name="Operação_Recolhimento">#REF!</definedName>
    <definedName name="P.D">#REF!</definedName>
    <definedName name="P_AR" localSheetId="0">#REF!</definedName>
    <definedName name="P_AR">#REF!</definedName>
    <definedName name="Parafusos_Insertos">#REF!</definedName>
    <definedName name="Parafusos_Insertos_SKs">#REF!</definedName>
    <definedName name="PE_afret">#REF!</definedName>
    <definedName name="PE_aprovacao">#REF!</definedName>
    <definedName name="PE_campo">#REF!</definedName>
    <definedName name="PE_data_emissao">#REF!</definedName>
    <definedName name="PE_linha">#REF!</definedName>
    <definedName name="PE_navio">#REF!</definedName>
    <definedName name="PE_numgr">#REF!</definedName>
    <definedName name="PE_nummd">#REF!</definedName>
    <definedName name="PE_numpe">#REF!</definedName>
    <definedName name="PE_poco">#REF!</definedName>
    <definedName name="PE_prep">#REF!</definedName>
    <definedName name="PE_revgr">#REF!</definedName>
    <definedName name="PE_revisor">#REF!</definedName>
    <definedName name="PE_revMD">#REF!</definedName>
    <definedName name="PE_servico">#REF!</definedName>
    <definedName name="PE_titulo_MD">#REF!</definedName>
    <definedName name="PE_uep">#REF!</definedName>
    <definedName name="Percent_Elab">#REF!</definedName>
    <definedName name="Percent_Elab_gemeo">#REF!</definedName>
    <definedName name="Percent_Elab_MCVT">#REF!</definedName>
    <definedName name="Percent_Elab_rec">#REF!</definedName>
    <definedName name="Percent_Ver_rec">#REF!</definedName>
    <definedName name="Percent_Verif">#REF!</definedName>
    <definedName name="Percent_Verif_gemeo">#REF!</definedName>
    <definedName name="Percent_Verif_MCVT">#REF!</definedName>
    <definedName name="peso_enrijecedor" localSheetId="0">#REF!</definedName>
    <definedName name="Peso_Misto">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</definedName>
    <definedName name="PEtreino">#REF!</definedName>
    <definedName name="PEunificado">#REF!</definedName>
    <definedName name="poco_1">#REF!</definedName>
    <definedName name="Poços">#REF!</definedName>
    <definedName name="projeto_md">#REF!</definedName>
    <definedName name="rangename">#REF!</definedName>
    <definedName name="Recolhimento_doc_ref">#REF!</definedName>
    <definedName name="Recolhimento_Num_Trechos">#REF!</definedName>
    <definedName name="recolhimento_responsabilidades">#REF!</definedName>
    <definedName name="Ref_TQF">#REF!</definedName>
    <definedName name="Ref_WKOpen">#REF!</definedName>
    <definedName name="Resp1">#REF!</definedName>
    <definedName name="Resp10">#REF!</definedName>
    <definedName name="Resp11">#REF!</definedName>
    <definedName name="Resp12">#REF!</definedName>
    <definedName name="Resp13">#REF!</definedName>
    <definedName name="Resp14">#REF!</definedName>
    <definedName name="Resp15">#REF!</definedName>
    <definedName name="Resp16">#REF!</definedName>
    <definedName name="Resp17">#REF!</definedName>
    <definedName name="Resp2">#REF!</definedName>
    <definedName name="Resp3">#REF!</definedName>
    <definedName name="Resp4">#REF!</definedName>
    <definedName name="Resp5">#REF!</definedName>
    <definedName name="Resp6">#REF!</definedName>
    <definedName name="Resp7">#REF!</definedName>
    <definedName name="Resp8">#REF!</definedName>
    <definedName name="Resp9">#REF!</definedName>
    <definedName name="Rev_A">#REF!</definedName>
    <definedName name="Rev_B">#REF!</definedName>
    <definedName name="Rev_C">#REF!</definedName>
    <definedName name="Rev_D">#REF!</definedName>
    <definedName name="Rev_Data">#REF!</definedName>
    <definedName name="Rev_Dificuldade">#REF!</definedName>
    <definedName name="Rev_KPI">#REF!</definedName>
    <definedName name="Rev_SC">#REF!</definedName>
    <definedName name="Revisão_LSM">#REF!</definedName>
    <definedName name="Revisor">#REF!</definedName>
    <definedName name="revPlanilha">#REF!</definedName>
    <definedName name="rg_inicio_01">#REF!</definedName>
    <definedName name="rg_inicio_02">#REF!</definedName>
    <definedName name="Selecao_Inserto_1">#REF!</definedName>
    <definedName name="Selecao_Inserto_SKs_1">#REF!</definedName>
    <definedName name="Selecionar_Insertos">#REF!</definedName>
    <definedName name="solicitante_RT">#REF!</definedName>
    <definedName name="Special_Master_Link">#REF!</definedName>
    <definedName name="Suporte_UEP">#REF!</definedName>
    <definedName name="SWL" localSheetId="0">#REF!</definedName>
    <definedName name="SWL">#REF!</definedName>
    <definedName name="T_A" localSheetId="0">#REF!</definedName>
    <definedName name="T_A">#REF!</definedName>
    <definedName name="T_B" localSheetId="0">#REF!</definedName>
    <definedName name="T_B">#REF!</definedName>
    <definedName name="Tab_A_342">#REF!</definedName>
    <definedName name="Tab_A_345">#REF!</definedName>
    <definedName name="Tab_G_2130">#REF!</definedName>
    <definedName name="Tab_G_2140">#REF!</definedName>
    <definedName name="Tab_G_2140E">#REF!</definedName>
    <definedName name="Tab_G_2160">#REF!</definedName>
    <definedName name="Tab_G_5263">#REF!</definedName>
    <definedName name="Tab_H_10">#REF!</definedName>
    <definedName name="Tab_H_10S">#REF!</definedName>
    <definedName name="Tab_H_14">#REF!</definedName>
    <definedName name="Tab_Link_Plate">#REF!</definedName>
    <definedName name="Tab_M_125T_10">#REF!</definedName>
    <definedName name="Tab_M_3226_10">#REF!</definedName>
    <definedName name="Tab_M_3632_10">#REF!</definedName>
    <definedName name="Tab_MT_22_10">#REF!</definedName>
    <definedName name="Tab_P_6033">#REF!</definedName>
    <definedName name="Tab_P_6036">#REF!</definedName>
    <definedName name="Tab_SC_1">#REF!</definedName>
    <definedName name="Tab_SC_5">#REF!</definedName>
    <definedName name="Tab_Special_ML">#REF!</definedName>
    <definedName name="Tab_VB_P_6033">#REF!</definedName>
    <definedName name="Tabela" localSheetId="0">#REF!</definedName>
    <definedName name="Tabela">#REF!</definedName>
    <definedName name="Tabela_Estojos_1">#REF!</definedName>
    <definedName name="Tabela_Estojos_2">#REF!</definedName>
    <definedName name="Tabela_IMECA_SKAB">#REF!</definedName>
    <definedName name="Tension_CurvadeCargas">OFFSET(#REF!,,,COUNTA(#REF!))</definedName>
    <definedName name="Tension_CurvadeCargas_critica">" =OFFSET('Curva de Cargas'!$J$9;;;COUNTA(Table2639[Tension '[kN']]))"</definedName>
    <definedName name="Tension_CurvadeCargas_min">OFFSET(#REF!,,,COUNTA(#REF!))</definedName>
    <definedName name="Th" localSheetId="0">#REF!</definedName>
    <definedName name="Th">#REF!</definedName>
    <definedName name="tipo_linha">#REF!</definedName>
    <definedName name="titulo_do_PE">#REF!</definedName>
    <definedName name="Total_de_páginas_do_PE">#REF!</definedName>
    <definedName name="TQF_DESTINO_SKAB">#REF!</definedName>
    <definedName name="TQF_DESTINO_TOP">#REF!</definedName>
    <definedName name="TQF_PDF_BAT">#REF!</definedName>
    <definedName name="tqfs_listadas" localSheetId="0">OFFSET(#REF!,0,0,COUNTA(#REF!))</definedName>
    <definedName name="tqfs_ordenadas" localSheetId="0">OFFSET(#REF!,0,0,COUNTA(#REF!))</definedName>
    <definedName name="Tramo_pai">#REF!</definedName>
    <definedName name="Tramo_raiz">#REF!</definedName>
    <definedName name="TRK_Origem_SKAB">#REF!</definedName>
    <definedName name="TRK_Origem_TOP">#REF!</definedName>
    <definedName name="Verificador_do_PE">#REF!</definedName>
    <definedName name="Verificar_PP">#REF!</definedName>
    <definedName name="Y_Plate">#REF!</definedName>
    <definedName name="yA" localSheetId="0">#REF!</definedName>
    <definedName name="yA">#REF!</definedName>
    <definedName name="yB" localSheetId="0">#REF!</definedName>
    <definedName name="yB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53" i="2" l="1"/>
  <c r="AI53" i="2" s="1"/>
  <c r="AK52" i="2"/>
  <c r="AI52" i="2" s="1"/>
  <c r="AK51" i="2"/>
  <c r="AI51" i="2" s="1"/>
  <c r="AK50" i="2"/>
  <c r="AI50" i="2" s="1"/>
  <c r="AK47" i="2"/>
  <c r="AI47" i="2" s="1"/>
  <c r="AK46" i="2"/>
  <c r="AI46" i="2" s="1"/>
  <c r="AK45" i="2"/>
  <c r="AI45" i="2" s="1"/>
  <c r="AK44" i="2"/>
  <c r="AI44" i="2" s="1"/>
  <c r="AK42" i="2"/>
  <c r="AI42" i="2" s="1"/>
  <c r="AK41" i="2"/>
  <c r="AI41" i="2" s="1"/>
  <c r="AK56" i="2"/>
  <c r="AI56" i="2" s="1"/>
  <c r="AK55" i="2"/>
  <c r="AI55" i="2" s="1"/>
  <c r="AK54" i="2"/>
  <c r="AI54" i="2" s="1"/>
  <c r="AK49" i="2"/>
  <c r="AI49" i="2" s="1"/>
  <c r="AK28" i="2"/>
  <c r="AI28" i="2" s="1"/>
  <c r="AK26" i="2"/>
  <c r="AI26" i="2" s="1"/>
  <c r="AK48" i="2"/>
  <c r="AI48" i="2" s="1"/>
  <c r="AK23" i="2"/>
  <c r="AI23" i="2" s="1"/>
  <c r="AK22" i="2"/>
  <c r="AI22" i="2" s="1"/>
  <c r="AK21" i="2"/>
  <c r="AI21" i="2" s="1"/>
  <c r="AK43" i="2"/>
  <c r="AI43" i="2" s="1"/>
  <c r="AK40" i="2"/>
  <c r="AI40" i="2" s="1"/>
  <c r="AK39" i="2"/>
  <c r="AI39" i="2" s="1"/>
  <c r="AK18" i="2"/>
  <c r="AI18" i="2" s="1"/>
  <c r="AK38" i="2"/>
  <c r="AI38" i="2" s="1"/>
  <c r="AK11" i="2"/>
  <c r="AI11" i="2" s="1"/>
  <c r="AK37" i="2"/>
  <c r="AI37" i="2" s="1"/>
  <c r="AK36" i="2"/>
  <c r="AI36" i="2" s="1"/>
  <c r="AK35" i="2"/>
  <c r="AI35" i="2" s="1"/>
  <c r="AK34" i="2"/>
  <c r="AI34" i="2" s="1"/>
  <c r="AK33" i="2"/>
  <c r="AI33" i="2" s="1"/>
  <c r="AK32" i="2"/>
  <c r="AI32" i="2" s="1"/>
  <c r="AK31" i="2"/>
  <c r="AI31" i="2" s="1"/>
  <c r="AK30" i="2"/>
  <c r="AI30" i="2" s="1"/>
  <c r="AK29" i="2"/>
  <c r="AI29" i="2" s="1"/>
  <c r="AK27" i="2"/>
  <c r="AI27" i="2" s="1"/>
  <c r="AK25" i="2"/>
  <c r="AI25" i="2" s="1"/>
  <c r="AK24" i="2"/>
  <c r="AI24" i="2" s="1"/>
  <c r="Q21" i="2"/>
  <c r="AK20" i="2"/>
  <c r="AI20" i="2" s="1"/>
  <c r="Q20" i="2"/>
  <c r="AK19" i="2"/>
  <c r="AI19" i="2" s="1"/>
  <c r="Q19" i="2"/>
  <c r="Q18" i="2"/>
  <c r="AK17" i="2"/>
  <c r="AI17" i="2" s="1"/>
  <c r="Q17" i="2"/>
  <c r="AK16" i="2"/>
  <c r="AI16" i="2" s="1"/>
  <c r="Q16" i="2"/>
  <c r="AK15" i="2"/>
  <c r="AI15" i="2" s="1"/>
  <c r="Q15" i="2"/>
  <c r="AK14" i="2"/>
  <c r="AI14" i="2" s="1"/>
  <c r="Q14" i="2"/>
  <c r="AK13" i="2"/>
  <c r="AI13" i="2" s="1"/>
  <c r="Q13" i="2"/>
  <c r="AK12" i="2"/>
  <c r="AI12" i="2" s="1"/>
  <c r="Q12" i="2"/>
  <c r="Q11" i="2"/>
  <c r="AK10" i="2"/>
  <c r="AI10" i="2" s="1"/>
  <c r="Q10" i="2"/>
  <c r="AK9" i="2"/>
  <c r="AI9" i="2" s="1"/>
  <c r="Q9" i="2"/>
  <c r="AK8" i="2"/>
  <c r="AI8" i="2" s="1"/>
  <c r="Q8" i="2"/>
  <c r="AK7" i="2"/>
  <c r="AI7" i="2" s="1"/>
  <c r="Q7" i="2"/>
  <c r="AK6" i="2"/>
  <c r="AI6" i="2" s="1"/>
  <c r="Q6" i="2"/>
  <c r="AK5" i="2"/>
  <c r="AI5" i="2" s="1"/>
  <c r="Q5" i="2"/>
  <c r="AK4" i="2"/>
  <c r="AI4" i="2" s="1"/>
  <c r="Q4" i="2"/>
  <c r="AK3" i="2"/>
  <c r="AI3" i="2" s="1"/>
  <c r="Q3" i="2"/>
  <c r="AK2" i="2"/>
  <c r="AI2" i="2" s="1"/>
  <c r="Q2" i="2"/>
  <c r="Q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Nathalia Nascimento</author>
    <author>Andre-Melo Paulo-External</author>
    <author>Louise Parente</author>
  </authors>
  <commentList>
    <comment ref="E37" authorId="0" shapeId="0" xr:uid="{E06E8854-F0BF-4B21-84B4-E972900BA9A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F37" authorId="0" shapeId="0" xr:uid="{E62C72E8-9D93-4B02-8579-C94C5E7F857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G37" authorId="0" shapeId="0" xr:uid="{BB0C6ED1-DE7B-40CD-A485-443408D5399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H37" authorId="0" shapeId="0" xr:uid="{CC93C620-E91F-4A7B-A5D2-BB4D2AD2423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I37" authorId="0" shapeId="0" xr:uid="{64B094A2-2E1B-4DBD-B086-55FEA16188D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J37" authorId="0" shapeId="0" xr:uid="{E40922A5-90D6-40FC-AAED-5EFA069F718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43" authorId="0" shapeId="0" xr:uid="{8140A95C-903E-45CD-A650-2FA8988FB7AA}">
      <text>
        <r>
          <rPr>
            <b/>
            <sz val="9"/>
            <color indexed="81"/>
            <rFont val="Tahoma"/>
            <family val="2"/>
          </rPr>
          <t>Indicar caminho do arquivo</t>
        </r>
      </text>
    </comment>
    <comment ref="A55" authorId="1" shapeId="0" xr:uid="{AA9D3C9C-ABC0-4E3D-A91A-5F49A5E65D3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56" authorId="0" shapeId="0" xr:uid="{1E70C37B-A3CC-4EE3-A1F5-4BA41141B549}">
      <text>
        <r>
          <rPr>
            <b/>
            <sz val="9"/>
            <color indexed="81"/>
            <rFont val="Tahoma"/>
            <family val="2"/>
          </rPr>
          <t>Fontes: Datasheet ou desenho da vértebras</t>
        </r>
      </text>
    </comment>
    <comment ref="A58" authorId="0" shapeId="0" xr:uid="{D8FA392F-403B-430C-AD3C-FC65E5B79400}">
      <text>
        <r>
          <rPr>
            <b/>
            <sz val="9"/>
            <color indexed="81"/>
            <rFont val="Tahoma"/>
            <family val="2"/>
          </rPr>
          <t>Maior do desenho ou o utilizado na RL</t>
        </r>
      </text>
    </comment>
    <comment ref="A59" authorId="0" shapeId="0" xr:uid="{D5832226-8710-4195-A722-40B640A2A3B3}">
      <text>
        <r>
          <rPr>
            <b/>
            <sz val="9"/>
            <color indexed="81"/>
            <rFont val="Tahoma"/>
            <family val="2"/>
          </rPr>
          <t>Maior diâmetro do desenho do conector</t>
        </r>
      </text>
    </comment>
    <comment ref="A60" authorId="0" shapeId="0" xr:uid="{D4A54648-B70A-4C5C-93FA-8CF43D649C0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62" authorId="2" shapeId="0" xr:uid="{31C10FB2-64C8-4804-9D18-C7FBDADD0A2C}">
      <text>
        <r>
          <rPr>
            <b/>
            <sz val="9"/>
            <color indexed="81"/>
            <rFont val="Tahoma"/>
            <family val="2"/>
          </rPr>
          <t>Obrigatório apenas quando for aplicável.</t>
        </r>
      </text>
    </comment>
    <comment ref="I62" authorId="0" shapeId="0" xr:uid="{E569F95E-F260-455A-B42C-4611BC002F1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I63" authorId="0" shapeId="0" xr:uid="{74A5DA25-C9DB-4893-A959-B86258A25A2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J63" authorId="0" shapeId="0" xr:uid="{F2741E79-A3FA-4AE6-8F09-581A1F280001}">
      <text>
        <r>
          <rPr>
            <sz val="11"/>
            <color theme="1"/>
            <rFont val="Calibri"/>
            <family val="2"/>
            <scheme val="minor"/>
          </rPr>
          <t/>
        </r>
      </text>
    </comment>
  </commentList>
</comments>
</file>

<file path=xl/sharedStrings.xml><?xml version="1.0" encoding="utf-8"?>
<sst xmlns="http://schemas.openxmlformats.org/spreadsheetml/2006/main" count="159" uniqueCount="154">
  <si>
    <t>RT de CVD / CHD / DCVD Rev.5</t>
  </si>
  <si>
    <t>Chave</t>
  </si>
  <si>
    <t>Valor</t>
  </si>
  <si>
    <t>Formulas</t>
  </si>
  <si>
    <t>LDA</t>
  </si>
  <si>
    <t>Instruções: Solicitar o estudo por meio do botão "Emitir RT", presente na aba Fluxo de desenvolvimento, que enviará um e-mail contendo um arquivo .xls anexo.</t>
  </si>
  <si>
    <t>SEQUENCIA_OPERACIONAL</t>
  </si>
  <si>
    <t>CONDICAO_LANÇAMENTO_LINHA</t>
  </si>
  <si>
    <t>Nº da RT:</t>
  </si>
  <si>
    <t>Revisão:</t>
  </si>
  <si>
    <t>A</t>
  </si>
  <si>
    <t>Prazo:</t>
  </si>
  <si>
    <t>PLANILHA_EQSB_ARQUIVO</t>
  </si>
  <si>
    <t>Elaborador</t>
  </si>
  <si>
    <t>Diogo Teles de Araujo</t>
  </si>
  <si>
    <t>PLANILHA_EQSB_REV</t>
  </si>
  <si>
    <t>Instruções: Copiar para a pasta abaixo: Unifilar da linha, desenhos dos acessórios e equipamentos, datasheet das estruturas,  RL com curva de rigidez das estruturas e quaisquer outras informações necessárias.</t>
  </si>
  <si>
    <t>EQUIPAMENTO_SUBMARINO</t>
  </si>
  <si>
    <t>RL_ARQUIVO</t>
  </si>
  <si>
    <t>RL_REV</t>
  </si>
  <si>
    <t>MCV_PESO_AR</t>
  </si>
  <si>
    <t>Pasta com inputs:</t>
  </si>
  <si>
    <t>C:\Users\pduda\Digicorner\Subsea Engineering - Brazil Vessel Projects - 01-SKA\01-PEs\2024\PE-08-24-34-SAB_PO_7-TUP-125-RJS_FPSO CIDADE DE MANGARATIBA\02-Verificacoes e Calculos\03-Analises\RT-3187-CVD\Dados</t>
  </si>
  <si>
    <t>MCV_PESO_AGUA</t>
  </si>
  <si>
    <t>MCV_COTA_A</t>
  </si>
  <si>
    <t>Título do estudo:</t>
  </si>
  <si>
    <t>ESTUDO DE CVD DE 1ª DA LINHA DE PO NO POÇO 7-TUP-125A-RJS DO FPSO CIDADE DE MANGARATIBA</t>
  </si>
  <si>
    <t>MCV_COTA_B</t>
  </si>
  <si>
    <t>MCV_COTA_C</t>
  </si>
  <si>
    <t>Comentários:</t>
  </si>
  <si>
    <t>Atentar para a nota 5 do desenho da vértebra</t>
  </si>
  <si>
    <t>MCV_COTA_D</t>
  </si>
  <si>
    <t>MCV_COTA_E</t>
  </si>
  <si>
    <t>MCV_COTA_F</t>
  </si>
  <si>
    <t>MCV_DESENHO</t>
  </si>
  <si>
    <t>Dados da instalação</t>
  </si>
  <si>
    <t>TRAMO</t>
  </si>
  <si>
    <t>Título do MD</t>
  </si>
  <si>
    <t>INTERLIGAÇÃO DA LINHA DE PO DO POÇO 7-TUP-125A-RJS (LOC-U) AO FPSO CIDADE DE MANGARATIBA</t>
  </si>
  <si>
    <t>TRAMO_CURVA_HISTERESE</t>
  </si>
  <si>
    <t>Número do MD</t>
  </si>
  <si>
    <t>MD-3A38.00-1500-941-R1N-003</t>
  </si>
  <si>
    <t>Revisão do MD</t>
  </si>
  <si>
    <t>TRAMO_COMPRIMENTO</t>
  </si>
  <si>
    <t>TRAMO_ESTRUTURA</t>
  </si>
  <si>
    <t>PLSV</t>
  </si>
  <si>
    <t>SKA</t>
  </si>
  <si>
    <t>TRAMO_OD</t>
  </si>
  <si>
    <t>Poço</t>
  </si>
  <si>
    <t>7-TUP-125-RJS</t>
  </si>
  <si>
    <t>TRAMO_ID</t>
  </si>
  <si>
    <t>Aplicação da linha</t>
  </si>
  <si>
    <t>PO</t>
  </si>
  <si>
    <t>TRAMO_PESO_VAZIO_AR</t>
  </si>
  <si>
    <t>Projeto</t>
  </si>
  <si>
    <t>S51881</t>
  </si>
  <si>
    <t>TRAMO_PESO_VAZIO_AGUA</t>
  </si>
  <si>
    <t>LDA [m]</t>
  </si>
  <si>
    <t>TRAMO_PESO_CHEIO_AR</t>
  </si>
  <si>
    <t>*Sequência operacional [CVD/DCVD/CHD de 1ª ou 2ª]</t>
  </si>
  <si>
    <t>CVD de 1ª</t>
  </si>
  <si>
    <t>TRAMO_PESO_CHEIO_AGUA</t>
  </si>
  <si>
    <t>*Condição de lançamento da linha [vazia ou cheia]</t>
  </si>
  <si>
    <t>Cheia</t>
  </si>
  <si>
    <t>TRAMO_MBR_INSTALACAO</t>
  </si>
  <si>
    <t>Campo</t>
  </si>
  <si>
    <t>Tupi</t>
  </si>
  <si>
    <t>TRAMO_RIGIDEZ_FLEXAO</t>
  </si>
  <si>
    <t>Equipamentos Submarinos</t>
  </si>
  <si>
    <t>TRAMO_RIGIDEZ_AXIAL</t>
  </si>
  <si>
    <t>Planilha EQSB:</t>
  </si>
  <si>
    <t>FD-3A38.00-1516-619-PEK-019</t>
  </si>
  <si>
    <t>Rev:</t>
  </si>
  <si>
    <t>TRAMO_RELATIVE_ELONGATION</t>
  </si>
  <si>
    <t>TRAMO_FABRICANTE</t>
  </si>
  <si>
    <t>*Equipamento Submarino:</t>
  </si>
  <si>
    <t>BAP</t>
  </si>
  <si>
    <t>COMPRIMENTO_MAXIMO_GOMOS_VERTEBRA</t>
  </si>
  <si>
    <t>MOMENTO_FLETOR_ADMISSIVEL_VERTEBRA</t>
  </si>
  <si>
    <t>RL:</t>
  </si>
  <si>
    <t>RL-3A38.00-1500-94G-R1N-001</t>
  </si>
  <si>
    <t>FORCA_CORTANTE_ADMISSIVEL_VERTEBRA</t>
  </si>
  <si>
    <t>ID</t>
  </si>
  <si>
    <t>Peso no ar [kgf]</t>
  </si>
  <si>
    <t>Peso na água [kgf]</t>
  </si>
  <si>
    <t>Cota A</t>
  </si>
  <si>
    <t>Cota B</t>
  </si>
  <si>
    <t>Cota C</t>
  </si>
  <si>
    <t>Cota D</t>
  </si>
  <si>
    <t>Cota E</t>
  </si>
  <si>
    <t>Cota F</t>
  </si>
  <si>
    <t>MBR_TRAVAMENTO_VERTEBRA</t>
  </si>
  <si>
    <t>*MCV/MCH</t>
  </si>
  <si>
    <t>DIAMETRO_CONTATO_CONECTOR</t>
  </si>
  <si>
    <t>*Desenho</t>
  </si>
  <si>
    <t>10133646 / 10001714705 (AS-240) Rev. 06</t>
  </si>
  <si>
    <t>DIAMETRO_PESCOCO_CONECTOR</t>
  </si>
  <si>
    <t>CONECTOR_PESO_AR</t>
  </si>
  <si>
    <t>Tramos</t>
  </si>
  <si>
    <t>CONECTOR_PESO_AGUA</t>
  </si>
  <si>
    <t>Flow@MCV/MCH</t>
  </si>
  <si>
    <t>TR 53075 38</t>
  </si>
  <si>
    <t>CONECTOR_DESENHO</t>
  </si>
  <si>
    <t>*Curva de histerese</t>
  </si>
  <si>
    <t>anexo ao RL</t>
  </si>
  <si>
    <t>CONECTOR_ID</t>
  </si>
  <si>
    <t>Comprimento - L [m]</t>
  </si>
  <si>
    <t>CONECTOR_COMPRIMENTO</t>
  </si>
  <si>
    <t>Estrutura</t>
  </si>
  <si>
    <t>VERTEBRA_PESO_AR</t>
  </si>
  <si>
    <t>*Diâmetro externo - OD [mm]</t>
  </si>
  <si>
    <t>VERTEBRA_PESO_AGUA</t>
  </si>
  <si>
    <t>*Diâmetro interno - ID [mm]</t>
  </si>
  <si>
    <t>VERTEBRA_DESENHO</t>
  </si>
  <si>
    <t>*Peso/metro vazio no ar [kg/m]</t>
  </si>
  <si>
    <t>*Peso/metro cheio no ar [kg/m]</t>
  </si>
  <si>
    <t>VERTEBRA_ID</t>
  </si>
  <si>
    <t>*Peso/metro vazio na água [kg/m]</t>
  </si>
  <si>
    <t>*Peso/metro cheio na água [kg/m]</t>
  </si>
  <si>
    <t>VERTEBRA_OD</t>
  </si>
  <si>
    <t>MBR de instalação [m]</t>
  </si>
  <si>
    <t>ADAPTADOR_PESO_AR</t>
  </si>
  <si>
    <t>Rigidez à flexão [kN.m²]</t>
  </si>
  <si>
    <t>ADAPTADOR_PESO_AGUA</t>
  </si>
  <si>
    <t>*Rigidez axial [kN]</t>
  </si>
  <si>
    <t>-</t>
  </si>
  <si>
    <t>ADAPTADOR_DESENHO</t>
  </si>
  <si>
    <t>*Relative elongation for 100kN [%] - caso datasheet não tenha rigidez axial</t>
  </si>
  <si>
    <t>ANODO_PESO_AR</t>
  </si>
  <si>
    <t>Fabricante [selecionar]</t>
  </si>
  <si>
    <t>TechnipFMC</t>
  </si>
  <si>
    <t>ANODO_PESO_AGUA</t>
  </si>
  <si>
    <t>*Comprimento máximo dos gomos da vértebra (sem considerar adaptador - ver comentário) [m]</t>
  </si>
  <si>
    <t>ANODO_DESENHO</t>
  </si>
  <si>
    <t>Momento fletor admissível da vértebra (não mandatório) kN.m</t>
  </si>
  <si>
    <t>nota 5 do desenho</t>
  </si>
  <si>
    <t>ANODO_COTA_INSTALACAO</t>
  </si>
  <si>
    <t>Força cortante admissível da vértebra (não mandatório) kN</t>
  </si>
  <si>
    <t>*MBR de travamento da vértebra</t>
  </si>
  <si>
    <t>Diâmetro de contato do conector</t>
  </si>
  <si>
    <t>*Diâmetro do pescoço do conector</t>
  </si>
  <si>
    <t>Peso ar [kgf]</t>
  </si>
  <si>
    <t>Desenho</t>
  </si>
  <si>
    <t>Cota de Instalação</t>
  </si>
  <si>
    <t>ID [mm]</t>
  </si>
  <si>
    <t>OD [mm]</t>
  </si>
  <si>
    <t>Comprimento [mm]</t>
  </si>
  <si>
    <t>*Conector/AP:</t>
  </si>
  <si>
    <t>079741-000-DW-5212-0057 Rev. 0</t>
  </si>
  <si>
    <t>*Vértebra:</t>
  </si>
  <si>
    <t>079741-000-DW-5224-0008 Rev. 0</t>
  </si>
  <si>
    <t>*Adaptador:</t>
  </si>
  <si>
    <t>*Anodo</t>
  </si>
  <si>
    <t>079741-000-DW-5104-0017 POS 16 Rev.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</si>
</sst>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2" borderId="0" xfId="0" applyFont="1" applyFill="1" applyAlignment="1">
      <alignment horizontal="left" wrapText="1"/>
    </xf>
    <xf numFmtId="0" fontId="0" fillId="3" borderId="0" xfId="0" applyFill="1" applyAlignment="1">
      <alignment vertical="center"/>
    </xf>
    <xf numFmtId="0" fontId="1" fillId="2" borderId="4" xfId="0" applyFont="1" applyFill="1" applyBorder="1"/>
    <xf numFmtId="0" fontId="1" fillId="2" borderId="5" xfId="0" applyFont="1" applyFill="1" applyBorder="1"/>
    <xf numFmtId="0" fontId="3" fillId="2" borderId="5" xfId="0" applyFont="1" applyFill="1" applyBorder="1"/>
    <xf numFmtId="0" fontId="1" fillId="2" borderId="6" xfId="0" applyFont="1" applyFill="1" applyBorder="1"/>
    <xf numFmtId="0" fontId="1" fillId="2" borderId="7" xfId="0" applyFont="1" applyFill="1" applyBorder="1" applyAlignment="1">
      <alignment horizontal="left" wrapText="1"/>
    </xf>
    <xf numFmtId="0" fontId="0" fillId="2" borderId="0" xfId="0" applyFill="1"/>
    <xf numFmtId="0" fontId="4" fillId="3" borderId="0" xfId="0" applyFont="1" applyFill="1" applyAlignment="1">
      <alignment horizontal="center"/>
    </xf>
    <xf numFmtId="14" fontId="0" fillId="4" borderId="0" xfId="0" applyNumberFormat="1" applyFill="1" applyAlignment="1">
      <alignment horizontal="center"/>
    </xf>
    <xf numFmtId="0" fontId="0" fillId="2" borderId="8" xfId="0" applyFill="1" applyBorder="1"/>
    <xf numFmtId="0" fontId="0" fillId="2" borderId="7" xfId="0" applyFill="1" applyBorder="1"/>
    <xf numFmtId="0" fontId="1" fillId="2" borderId="7" xfId="0" applyFont="1" applyFill="1" applyBorder="1" applyAlignment="1">
      <alignment horizontal="left"/>
    </xf>
    <xf numFmtId="0" fontId="1" fillId="2" borderId="8" xfId="0" applyFont="1" applyFill="1" applyBorder="1" applyAlignment="1">
      <alignment horizontal="left" wrapText="1"/>
    </xf>
    <xf numFmtId="0" fontId="5" fillId="2" borderId="0" xfId="0" applyFont="1" applyFill="1" applyAlignment="1">
      <alignment horizontal="center"/>
    </xf>
    <xf numFmtId="0" fontId="1" fillId="2" borderId="0" xfId="0" applyFont="1" applyFill="1" applyAlignment="1">
      <alignment horizontal="left"/>
    </xf>
    <xf numFmtId="0" fontId="0" fillId="4" borderId="8" xfId="0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1" fillId="2" borderId="7" xfId="0" applyFont="1" applyFill="1" applyBorder="1"/>
    <xf numFmtId="0" fontId="1" fillId="2" borderId="0" xfId="0" applyFont="1" applyFill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" fillId="2" borderId="0" xfId="0" applyFont="1" applyFill="1" applyAlignment="1">
      <alignment horizontal="left" vertical="center"/>
    </xf>
    <xf numFmtId="2" fontId="0" fillId="4" borderId="8" xfId="0" applyNumberForma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2" fontId="4" fillId="3" borderId="8" xfId="0" applyNumberFormat="1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2" fontId="4" fillId="3" borderId="0" xfId="0" applyNumberFormat="1" applyFont="1" applyFill="1" applyAlignment="1">
      <alignment horizontal="center"/>
    </xf>
    <xf numFmtId="0" fontId="1" fillId="2" borderId="9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1" fillId="2" borderId="11" xfId="0" applyFont="1" applyFill="1" applyBorder="1" applyAlignment="1">
      <alignment horizontal="left"/>
    </xf>
    <xf numFmtId="0" fontId="0" fillId="0" borderId="0" xfId="0" applyAlignment="1">
      <alignment vertical="center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left"/>
    </xf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1" fillId="2" borderId="7" xfId="0" applyFont="1" applyFill="1" applyBorder="1" applyAlignment="1">
      <alignment horizontal="left"/>
    </xf>
    <xf numFmtId="0" fontId="1" fillId="2" borderId="0" xfId="0" applyFont="1" applyFill="1" applyAlignment="1">
      <alignment horizontal="left"/>
    </xf>
    <xf numFmtId="0" fontId="1" fillId="2" borderId="7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6" fillId="3" borderId="0" xfId="0" applyFont="1" applyFill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7" xfId="0" applyFont="1" applyFill="1" applyBorder="1" applyAlignment="1">
      <alignment horizontal="left" vertical="center" wrapText="1"/>
    </xf>
    <xf numFmtId="0" fontId="1" fillId="2" borderId="0" xfId="0" applyFont="1" applyFill="1" applyAlignment="1">
      <alignment horizontal="left" vertical="center" wrapText="1"/>
    </xf>
    <xf numFmtId="0" fontId="1" fillId="2" borderId="8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horizontal="left" vertical="center" wrapText="1"/>
    </xf>
    <xf numFmtId="0" fontId="1" fillId="2" borderId="10" xfId="0" applyFont="1" applyFill="1" applyBorder="1" applyAlignment="1">
      <alignment horizontal="left" vertical="center" wrapText="1"/>
    </xf>
    <xf numFmtId="0" fontId="1" fillId="2" borderId="11" xfId="0" applyFont="1" applyFill="1" applyBorder="1" applyAlignment="1">
      <alignment horizontal="left" vertical="center" wrapText="1"/>
    </xf>
    <xf numFmtId="49" fontId="0" fillId="4" borderId="0" xfId="0" applyNumberFormat="1" applyFill="1" applyAlignment="1">
      <alignment horizontal="center"/>
    </xf>
    <xf numFmtId="14" fontId="0" fillId="4" borderId="0" xfId="0" applyNumberFormat="1" applyFill="1" applyAlignment="1">
      <alignment horizontal="center"/>
    </xf>
    <xf numFmtId="0" fontId="0" fillId="4" borderId="8" xfId="0" applyFill="1" applyBorder="1" applyAlignment="1">
      <alignment horizontal="center"/>
    </xf>
    <xf numFmtId="0" fontId="4" fillId="0" borderId="0" xfId="0" applyFont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</cellXfs>
  <cellStyles count="1">
    <cellStyle name="Normal" xfId="0" builtinId="0"/>
  </cellStyles>
  <dxfs count="4"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</dxfs>
  <tableStyles count="1" defaultTableStyle="TableStyleMedium2" defaultPivotStyle="PivotStyleLight16">
    <tableStyle name="Tabela_Curva_Cargas" pivot="0" count="0" xr9:uid="{114BA85C-1704-4D2F-8C95-DF99F421876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2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4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035vs0030\TOP%20PLSV\Users\phramos\Desktop\Novo%20Escopo\01-Solicita&#231;&#245;es\05-Envio%20de%20RTs\PassConj_Rev.0_RT-xxxxx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2%20-%20TOP%20CDA\2-3%20Operacao\2-3-3%20Procedimento%20Executivo\2-3-3-2%20Procedimentos%20em%20Elabora&#231;&#227;o\135-CDA-LL-19-GL\02-Verificacoes%20e%20Calculos\02-Calculos\LFO_CDA-LL-019_Novo%20-%20GRCA-0029.xlsb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035vs0030\TOP%20PLSV\Users\danilofv\AppData\Local\Microsoft\Windows\Temporary%20Internet%20Files\Content.Outlook\H4BCY50H\IDO%203%209%20-%20Technip%20-%202017-08-31%20(3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.tpnet.intra\br_fileserver\Users\feaoliveira\AppData\Local\Microsoft\Windows\Temporary%20Internet%20Files\Content.Outlook\VT5H8B2C\Check%20list%20TOP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_$Orcina_Hidden_Sheet$__"/>
      <sheetName val="Histórico"/>
      <sheetName val="Input"/>
      <sheetName val="Python"/>
      <sheetName val="Process1"/>
      <sheetName val="Process2"/>
      <sheetName val="Process3"/>
      <sheetName val="Process4"/>
      <sheetName val="Process5"/>
      <sheetName val="Process6"/>
      <sheetName val="Process7"/>
      <sheetName val="Process8"/>
      <sheetName val="Process9"/>
      <sheetName val="Process10"/>
      <sheetName val="ResultsRaw1"/>
      <sheetName val="ResultsRaw2"/>
      <sheetName val="ResultsRaw3"/>
      <sheetName val="ResultsRaw4"/>
      <sheetName val="ResultsRaw5"/>
      <sheetName val="ResultsRaw6"/>
      <sheetName val="ResultsRaw7"/>
      <sheetName val="ResultsRaw8"/>
      <sheetName val="ResultsRaw9"/>
      <sheetName val="ResultsRaw10"/>
      <sheetName val="Imagens"/>
      <sheetName val="Results1"/>
      <sheetName val="Report1"/>
      <sheetName val="Results2"/>
      <sheetName val="Report2"/>
      <sheetName val="Results3"/>
      <sheetName val="Report3"/>
      <sheetName val="Results4"/>
      <sheetName val="Report4"/>
      <sheetName val="Results5"/>
      <sheetName val="Report5"/>
      <sheetName val="Results6"/>
      <sheetName val="Report6"/>
      <sheetName val="Results7"/>
      <sheetName val="Report7"/>
      <sheetName val="Results8"/>
      <sheetName val="Report8"/>
      <sheetName val="Results9"/>
      <sheetName val="Report9"/>
      <sheetName val="Results10"/>
      <sheetName val="Report10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ice de Abas"/>
      <sheetName val="Fluxo de desenvolvimento"/>
      <sheetName val="Andamento"/>
      <sheetName val="Viabilidade"/>
      <sheetName val="Linha Planilha Mestra"/>
      <sheetName val="Viabilidade P.Chave"/>
      <sheetName val="Unifilar"/>
      <sheetName val="Carregamento"/>
      <sheetName val="Cálculos adicionais"/>
      <sheetName val="Passagem de extremidade"/>
      <sheetName val="RTs"/>
      <sheetName val="Cargas"/>
      <sheetName val="Pedir Desenho"/>
      <sheetName val="Peso Misto"/>
      <sheetName val="Coordenadas para Track"/>
      <sheetName val="Diagrama de Instalação - OLD"/>
      <sheetName val="Conexões flangeadas"/>
      <sheetName val="Diagrama de Instalação"/>
      <sheetName val="Torque API"/>
      <sheetName val="Resumo das tabelas"/>
      <sheetName val="Insertos Colar Novo"/>
      <sheetName val="Insertos"/>
      <sheetName val="Lista de Materiais"/>
      <sheetName val="TQFs"/>
      <sheetName val="Aba Job_PE"/>
      <sheetName val="Ferramentas Macro"/>
      <sheetName val="JRA"/>
      <sheetName val="Pré-Projeto"/>
      <sheetName val="Rev"/>
      <sheetName val="BD"/>
      <sheetName val="Modelo RARL"/>
      <sheetName val="LISTAS"/>
      <sheetName val="JRAs emitidas"/>
      <sheetName val="LFO_CDA-LL-019_Novo - GRCA-002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Índice"/>
      <sheetName val="Cronológico"/>
      <sheetName val="Tempo Efetivo"/>
      <sheetName val="IDO"/>
      <sheetName val="Filtro"/>
      <sheetName val="Metas"/>
      <sheetName val="Ajuda"/>
      <sheetName val="IDO 3 9 - Technip - 2017-08-31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ice de Abas"/>
      <sheetName val="Viabilidade"/>
      <sheetName val="Linha Planilha Mestra"/>
      <sheetName val="Viabilidade P.Chave"/>
      <sheetName val="TQFs"/>
      <sheetName val="Rev"/>
      <sheetName val="BD"/>
      <sheetName val="Modelo RARL"/>
      <sheetName val="LISTAS"/>
      <sheetName val="JRAs emitidas"/>
      <sheetName val="Check list TOP"/>
    </sheetNames>
    <sheetDataSet>
      <sheetData sheetId="0" refreshError="1"/>
      <sheetData sheetId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F49EAE-7FD2-4996-BE61-676BE21F5FE8}" name="Table55" displayName="Table55" ref="AH1:AI56" totalsRowShown="0" headerRowDxfId="3" dataDxfId="2">
  <autoFilter ref="AH1:AI56" xr:uid="{FB3A6B40-CBC5-4B34-A343-81FBEFCF4C31}"/>
  <tableColumns count="2">
    <tableColumn id="1" xr3:uid="{1BB0411E-4D0D-495E-9DFB-B8AD6FBD2221}" name="Chave" dataDxfId="1"/>
    <tableColumn id="2" xr3:uid="{63C06A78-B76F-4B8C-9A54-9880F839DBE8}" name="Valor" dataDxfId="0">
      <calculatedColumnFormula>AK2</calculatedColumnFormula>
    </tableColumn>
  </tableColumns>
  <tableStyleInfo name="Tabela_Curva_Cargas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C7FE8C8-CF82-485B-9BAB-5800A34E526B}">
  <we:reference id="df76232d-21a6-4463-9d19-0518ac5aab5d" version="1.1.0.0" store="EXCatalog" storeType="EXCatalog"/>
  <we:alternateReferences>
    <we:reference id="WA200000556" version="1.1.0.0" store="" storeType="OMEX"/>
  </we:alternateReferences>
  <we:properties>
    <we:property name="Office.AutoShowTaskpaneWithDocument" value="true"/>
    <we:property name="documentId" value="&quot;546ebeda-7a25-49b8-9d50-4a1c6b5d1700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_xldudf_JIRA_JQL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92ED7-A425-419F-AFE2-BD4EBE87B008}">
  <sheetPr codeName="Sheet25">
    <tabColor theme="4" tint="-0.499984740745262"/>
  </sheetPr>
  <dimension ref="A1:DR626"/>
  <sheetViews>
    <sheetView tabSelected="1" zoomScale="110" zoomScaleNormal="110" workbookViewId="0"/>
  </sheetViews>
  <sheetFormatPr defaultColWidth="9" defaultRowHeight="14.45"/>
  <cols>
    <col min="1" max="1" width="16.5703125" style="38" customWidth="1"/>
    <col min="2" max="2" width="14" style="38" customWidth="1"/>
    <col min="3" max="3" width="14.85546875" style="38" customWidth="1"/>
    <col min="4" max="4" width="15.85546875" style="38" customWidth="1"/>
    <col min="5" max="5" width="9.7109375" style="38" customWidth="1"/>
    <col min="6" max="6" width="9" style="38"/>
    <col min="7" max="7" width="11" style="38" customWidth="1"/>
    <col min="8" max="8" width="9" style="38"/>
    <col min="9" max="9" width="13" style="38" customWidth="1"/>
    <col min="10" max="10" width="12.7109375" style="38" customWidth="1"/>
    <col min="11" max="11" width="17.7109375" style="38" customWidth="1"/>
    <col min="12" max="12" width="2.85546875" style="38" customWidth="1"/>
    <col min="13" max="13" width="7" style="38" customWidth="1"/>
    <col min="14" max="14" width="18" style="38" customWidth="1"/>
    <col min="15" max="15" width="9" style="38" customWidth="1"/>
    <col min="16" max="16" width="9" style="38"/>
    <col min="17" max="17" width="9" style="38" hidden="1" customWidth="1"/>
    <col min="18" max="37" width="9" style="38"/>
    <col min="38" max="122" width="9" style="2"/>
    <col min="123" max="16384" width="9" style="38"/>
  </cols>
  <sheetData>
    <row r="1" spans="1:37" s="2" customFormat="1" ht="24" thickBot="1">
      <c r="A1" s="54" t="s">
        <v>0</v>
      </c>
      <c r="B1" s="55"/>
      <c r="C1" s="55"/>
      <c r="D1" s="55"/>
      <c r="E1" s="55"/>
      <c r="F1" s="55"/>
      <c r="G1" s="55"/>
      <c r="H1" s="55"/>
      <c r="I1" s="55"/>
      <c r="J1" s="55"/>
      <c r="K1" s="56"/>
      <c r="L1" s="39"/>
      <c r="M1" s="39"/>
      <c r="N1" s="39"/>
      <c r="O1" s="39"/>
      <c r="P1" s="39"/>
      <c r="Q1" s="39" t="e">
        <f>IF(#REF!="Skandi",#REF!,IF(OR(#REF!="TOP",#REF!="SKV",#REF!="SKN"),#REF!,"erro"))</f>
        <v>#REF!</v>
      </c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8"/>
      <c r="AG1" s="38"/>
      <c r="AH1" s="38" t="s">
        <v>1</v>
      </c>
      <c r="AI1" s="38" t="s">
        <v>2</v>
      </c>
      <c r="AJ1" s="38"/>
      <c r="AK1" s="38" t="s">
        <v>3</v>
      </c>
    </row>
    <row r="2" spans="1:37" s="2" customFormat="1" ht="15.75" customHeight="1">
      <c r="A2" s="3"/>
      <c r="B2" s="4"/>
      <c r="C2" s="4"/>
      <c r="D2" s="4"/>
      <c r="E2" s="4"/>
      <c r="F2" s="4"/>
      <c r="G2" s="4"/>
      <c r="H2" s="4"/>
      <c r="I2" s="5"/>
      <c r="J2" s="5"/>
      <c r="K2" s="6"/>
      <c r="L2" s="39"/>
      <c r="M2" s="39"/>
      <c r="N2" s="39"/>
      <c r="O2" s="39"/>
      <c r="P2" s="39"/>
      <c r="Q2" s="39" t="e">
        <f>IF(#REF!="Skandi",#REF!,IF(OR(#REF!="TOP",#REF!="SKV",#REF!="SKN"),#REF!,"erro"))</f>
        <v>#REF!</v>
      </c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8"/>
      <c r="AG2" s="38"/>
      <c r="AH2" s="38" t="s">
        <v>4</v>
      </c>
      <c r="AI2" s="38">
        <f>AK2</f>
        <v>2232</v>
      </c>
      <c r="AJ2" s="38"/>
      <c r="AK2" s="38">
        <f>K27</f>
        <v>2232</v>
      </c>
    </row>
    <row r="3" spans="1:37" s="2" customFormat="1" ht="15.75" customHeight="1">
      <c r="A3" s="57" t="s">
        <v>5</v>
      </c>
      <c r="B3" s="58"/>
      <c r="C3" s="58"/>
      <c r="D3" s="58"/>
      <c r="E3" s="58"/>
      <c r="F3" s="58"/>
      <c r="G3" s="58"/>
      <c r="H3" s="58"/>
      <c r="I3" s="58"/>
      <c r="J3" s="58"/>
      <c r="K3" s="59"/>
      <c r="L3" s="39"/>
      <c r="M3" s="39"/>
      <c r="N3" s="39"/>
      <c r="O3" s="39"/>
      <c r="P3" s="39"/>
      <c r="Q3" s="39" t="e">
        <f>IF(#REF!="Skandi",#REF!,IF(OR(#REF!="TOP",#REF!="SKV",#REF!="SKN"),#REF!,"erro"))</f>
        <v>#REF!</v>
      </c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8"/>
      <c r="AG3" s="38"/>
      <c r="AH3" s="38" t="s">
        <v>6</v>
      </c>
      <c r="AI3" s="38" t="str">
        <f t="shared" ref="AI3:AI56" si="0">AK3</f>
        <v>CVD de 1ª</v>
      </c>
      <c r="AJ3" s="38"/>
      <c r="AK3" s="38" t="str">
        <f>K28</f>
        <v>CVD de 1ª</v>
      </c>
    </row>
    <row r="4" spans="1:37" s="2" customFormat="1" ht="15.75" customHeight="1" thickBot="1">
      <c r="A4" s="60"/>
      <c r="B4" s="61"/>
      <c r="C4" s="61"/>
      <c r="D4" s="61"/>
      <c r="E4" s="61"/>
      <c r="F4" s="61"/>
      <c r="G4" s="61"/>
      <c r="H4" s="61"/>
      <c r="I4" s="61"/>
      <c r="J4" s="61"/>
      <c r="K4" s="62"/>
      <c r="L4" s="39"/>
      <c r="M4" s="39"/>
      <c r="N4" s="39"/>
      <c r="O4" s="39"/>
      <c r="P4" s="39"/>
      <c r="Q4" s="39" t="e">
        <f>IF(#REF!="Skandi",#REF!,IF(OR(#REF!="TOP",#REF!="SKV",#REF!="SKN"),#REF!,"erro"))</f>
        <v>#REF!</v>
      </c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8"/>
      <c r="AG4" s="38"/>
      <c r="AH4" s="38" t="s">
        <v>7</v>
      </c>
      <c r="AI4" s="38" t="str">
        <f t="shared" si="0"/>
        <v>Cheia</v>
      </c>
      <c r="AJ4" s="38"/>
      <c r="AK4" s="38" t="str">
        <f>K29</f>
        <v>Cheia</v>
      </c>
    </row>
    <row r="5" spans="1:37" s="2" customFormat="1" ht="15.75" customHeight="1">
      <c r="A5" s="7" t="s">
        <v>8</v>
      </c>
      <c r="B5" s="63">
        <v>3187</v>
      </c>
      <c r="C5" s="63"/>
      <c r="D5" s="8"/>
      <c r="E5" s="1" t="s">
        <v>9</v>
      </c>
      <c r="F5" s="9" t="s">
        <v>10</v>
      </c>
      <c r="G5" s="1"/>
      <c r="H5" s="1" t="s">
        <v>11</v>
      </c>
      <c r="I5" s="10">
        <v>45542.875</v>
      </c>
      <c r="J5" s="10"/>
      <c r="K5" s="11"/>
      <c r="L5" s="39"/>
      <c r="M5" s="39"/>
      <c r="N5" s="39"/>
      <c r="O5" s="39"/>
      <c r="P5" s="39"/>
      <c r="Q5" s="39" t="e">
        <f>IF(#REF!="Skandi",#REF!,IF(OR(#REF!="TOP",#REF!="SKV",#REF!="SKN"),#REF!,"erro"))</f>
        <v>#REF!</v>
      </c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8"/>
      <c r="AG5" s="38"/>
      <c r="AH5" s="38" t="s">
        <v>12</v>
      </c>
      <c r="AI5" s="38" t="str">
        <f t="shared" si="0"/>
        <v>FD-3A38.00-1516-619-PEK-019</v>
      </c>
      <c r="AJ5" s="38"/>
      <c r="AK5" s="38" t="str">
        <f>B32</f>
        <v>FD-3A38.00-1516-619-PEK-019</v>
      </c>
    </row>
    <row r="6" spans="1:37" s="2" customFormat="1" ht="15.75" customHeight="1">
      <c r="A6" s="7" t="s">
        <v>13</v>
      </c>
      <c r="B6" s="64" t="s">
        <v>14</v>
      </c>
      <c r="C6" s="64"/>
      <c r="D6" s="8"/>
      <c r="E6" s="8"/>
      <c r="F6" s="8"/>
      <c r="G6" s="8"/>
      <c r="H6" s="8"/>
      <c r="I6" s="8"/>
      <c r="J6" s="8"/>
      <c r="K6" s="11"/>
      <c r="L6" s="39"/>
      <c r="M6" s="39"/>
      <c r="N6" s="39"/>
      <c r="O6" s="39"/>
      <c r="P6" s="39"/>
      <c r="Q6" s="39" t="e">
        <f>IF(#REF!="Skandi",#REF!,IF(OR(#REF!="TOP",#REF!="SKV",#REF!="SKN"),#REF!,"erro"))</f>
        <v>#REF!</v>
      </c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8"/>
      <c r="AG6" s="38"/>
      <c r="AH6" s="38" t="s">
        <v>15</v>
      </c>
      <c r="AI6" s="38">
        <f t="shared" si="0"/>
        <v>0</v>
      </c>
      <c r="AJ6" s="38"/>
      <c r="AK6" s="38">
        <f>F32</f>
        <v>0</v>
      </c>
    </row>
    <row r="7" spans="1:37" s="2" customFormat="1" ht="15.75" customHeight="1">
      <c r="A7" s="57" t="s">
        <v>16</v>
      </c>
      <c r="B7" s="58"/>
      <c r="C7" s="58"/>
      <c r="D7" s="58"/>
      <c r="E7" s="58"/>
      <c r="F7" s="58"/>
      <c r="G7" s="58"/>
      <c r="H7" s="58"/>
      <c r="I7" s="58"/>
      <c r="J7" s="58"/>
      <c r="K7" s="59"/>
      <c r="L7" s="39"/>
      <c r="M7" s="39"/>
      <c r="N7" s="39"/>
      <c r="O7" s="39"/>
      <c r="P7" s="39"/>
      <c r="Q7" s="39" t="e">
        <f>IF(#REF!="Skandi",#REF!,IF(OR(#REF!="TOP",#REF!="SKV",#REF!="SKN"),#REF!,"erro"))</f>
        <v>#REF!</v>
      </c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8"/>
      <c r="AG7" s="38"/>
      <c r="AH7" s="38" t="s">
        <v>17</v>
      </c>
      <c r="AI7" s="38" t="str">
        <f t="shared" si="0"/>
        <v>BAP</v>
      </c>
      <c r="AJ7" s="38"/>
      <c r="AK7" s="38" t="str">
        <f>C34</f>
        <v>BAP</v>
      </c>
    </row>
    <row r="8" spans="1:37" s="2" customFormat="1" ht="15.75" customHeight="1">
      <c r="A8" s="57"/>
      <c r="B8" s="58"/>
      <c r="C8" s="58"/>
      <c r="D8" s="58"/>
      <c r="E8" s="58"/>
      <c r="F8" s="58"/>
      <c r="G8" s="58"/>
      <c r="H8" s="58"/>
      <c r="I8" s="58"/>
      <c r="J8" s="58"/>
      <c r="K8" s="59"/>
      <c r="L8" s="39"/>
      <c r="M8" s="39"/>
      <c r="N8" s="39"/>
      <c r="O8" s="39"/>
      <c r="P8" s="39"/>
      <c r="Q8" s="39" t="e">
        <f>IF(#REF!="Skandi",#REF!,IF(OR(#REF!="TOP",#REF!="SKV",#REF!="SKN"),#REF!,"erro"))</f>
        <v>#REF!</v>
      </c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8"/>
      <c r="AG8" s="38"/>
      <c r="AH8" s="38" t="s">
        <v>18</v>
      </c>
      <c r="AI8" s="38" t="str">
        <f t="shared" si="0"/>
        <v>RL-3A38.00-1500-94G-R1N-001</v>
      </c>
      <c r="AJ8" s="38"/>
      <c r="AK8" s="38" t="str">
        <f>B36</f>
        <v>RL-3A38.00-1500-94G-R1N-001</v>
      </c>
    </row>
    <row r="9" spans="1:37" s="2" customFormat="1" ht="15.75" customHeight="1">
      <c r="A9" s="57"/>
      <c r="B9" s="58"/>
      <c r="C9" s="58"/>
      <c r="D9" s="58"/>
      <c r="E9" s="58"/>
      <c r="F9" s="58"/>
      <c r="G9" s="58"/>
      <c r="H9" s="58"/>
      <c r="I9" s="58"/>
      <c r="J9" s="58"/>
      <c r="K9" s="59"/>
      <c r="L9" s="39"/>
      <c r="M9" s="39"/>
      <c r="N9" s="39"/>
      <c r="O9" s="39"/>
      <c r="P9" s="39"/>
      <c r="Q9" s="39" t="e">
        <f>IF(#REF!="Skandi",#REF!,IF(OR(#REF!="TOP",#REF!="SKV",#REF!="SKN"),#REF!,"erro"))</f>
        <v>#REF!</v>
      </c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8"/>
      <c r="AG9" s="38"/>
      <c r="AH9" s="38" t="s">
        <v>19</v>
      </c>
      <c r="AI9" s="38">
        <f t="shared" si="0"/>
        <v>0</v>
      </c>
      <c r="AJ9" s="38"/>
      <c r="AK9" s="38">
        <f>F36</f>
        <v>0</v>
      </c>
    </row>
    <row r="10" spans="1:37" s="2" customFormat="1" ht="15.75" customHeight="1">
      <c r="A10" s="12"/>
      <c r="B10" s="8"/>
      <c r="C10" s="8"/>
      <c r="D10" s="8"/>
      <c r="E10" s="8"/>
      <c r="F10" s="8"/>
      <c r="G10" s="8"/>
      <c r="H10" s="8"/>
      <c r="I10" s="8"/>
      <c r="J10" s="8"/>
      <c r="K10" s="11"/>
      <c r="L10" s="39"/>
      <c r="M10" s="39"/>
      <c r="N10" s="39"/>
      <c r="O10" s="39"/>
      <c r="P10" s="39"/>
      <c r="Q10" s="39" t="e">
        <f>IF(#REF!="Skandi",#REF!,IF(OR(#REF!="TOP",#REF!="SKV",#REF!="SKN"),#REF!,"erro"))</f>
        <v>#REF!</v>
      </c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8"/>
      <c r="AG10" s="38"/>
      <c r="AH10" s="38" t="s">
        <v>20</v>
      </c>
      <c r="AI10" s="38">
        <f t="shared" si="0"/>
        <v>7662</v>
      </c>
      <c r="AJ10" s="38"/>
      <c r="AK10" s="38">
        <f>C38</f>
        <v>7662</v>
      </c>
    </row>
    <row r="11" spans="1:37" s="2" customFormat="1" ht="15.75" customHeight="1">
      <c r="A11" s="13" t="s">
        <v>21</v>
      </c>
      <c r="B11" s="8"/>
      <c r="C11" s="52" t="s">
        <v>22</v>
      </c>
      <c r="D11" s="52"/>
      <c r="E11" s="52"/>
      <c r="F11" s="52"/>
      <c r="G11" s="52"/>
      <c r="H11" s="52"/>
      <c r="I11" s="52"/>
      <c r="J11" s="52"/>
      <c r="K11" s="65"/>
      <c r="L11" s="39"/>
      <c r="M11" s="39"/>
      <c r="N11" s="39"/>
      <c r="O11" s="39"/>
      <c r="P11" s="39"/>
      <c r="Q11" s="39" t="e">
        <f>IF(#REF!="Skandi",#REF!,IF(OR(#REF!="TOP",#REF!="SKV",#REF!="SKN"),#REF!,"erro"))</f>
        <v>#REF!</v>
      </c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8"/>
      <c r="AG11" s="38"/>
      <c r="AH11" s="38" t="s">
        <v>23</v>
      </c>
      <c r="AI11" s="38">
        <f t="shared" si="0"/>
        <v>6513</v>
      </c>
      <c r="AJ11" s="38"/>
      <c r="AK11" s="38">
        <f>D38</f>
        <v>6513</v>
      </c>
    </row>
    <row r="12" spans="1:37" s="2" customFormat="1" ht="15.75" customHeight="1">
      <c r="A12" s="12"/>
      <c r="B12" s="8"/>
      <c r="C12" s="8"/>
      <c r="D12" s="8"/>
      <c r="E12" s="8"/>
      <c r="F12" s="8"/>
      <c r="G12" s="8"/>
      <c r="H12" s="8"/>
      <c r="I12" s="8"/>
      <c r="J12" s="8"/>
      <c r="K12" s="11"/>
      <c r="L12" s="39"/>
      <c r="M12" s="39"/>
      <c r="N12" s="39"/>
      <c r="O12" s="39"/>
      <c r="P12" s="39"/>
      <c r="Q12" s="39" t="e">
        <f>IF(#REF!="Skandi",#REF!,IF(OR(#REF!="TOP",#REF!="SKV",#REF!="SKN"),#REF!,"erro"))</f>
        <v>#REF!</v>
      </c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8"/>
      <c r="AG12" s="38"/>
      <c r="AH12" s="38" t="s">
        <v>24</v>
      </c>
      <c r="AI12" s="38">
        <f t="shared" si="0"/>
        <v>4400</v>
      </c>
      <c r="AJ12" s="38"/>
      <c r="AK12" s="38">
        <f>E38</f>
        <v>4400</v>
      </c>
    </row>
    <row r="13" spans="1:37" s="2" customFormat="1" ht="15.75" customHeight="1">
      <c r="A13" s="13" t="s">
        <v>25</v>
      </c>
      <c r="B13" s="8"/>
      <c r="C13" s="52" t="s">
        <v>26</v>
      </c>
      <c r="D13" s="52"/>
      <c r="E13" s="52"/>
      <c r="F13" s="52"/>
      <c r="G13" s="52"/>
      <c r="H13" s="52"/>
      <c r="I13" s="52"/>
      <c r="J13" s="52"/>
      <c r="K13" s="65"/>
      <c r="L13" s="39"/>
      <c r="M13" s="39"/>
      <c r="N13" s="39"/>
      <c r="O13" s="39"/>
      <c r="P13" s="39"/>
      <c r="Q13" s="39" t="e">
        <f>IF(#REF!="Skandi",#REF!,IF(OR(#REF!="TOP",#REF!="SKV",#REF!="SKN"),#REF!,"erro"))</f>
        <v>#REF!</v>
      </c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8"/>
      <c r="AG13" s="38"/>
      <c r="AH13" s="38" t="s">
        <v>27</v>
      </c>
      <c r="AI13" s="38">
        <f t="shared" si="0"/>
        <v>936</v>
      </c>
      <c r="AJ13" s="38"/>
      <c r="AK13" s="38">
        <f>F38</f>
        <v>936</v>
      </c>
    </row>
    <row r="14" spans="1:37" s="2" customFormat="1" ht="15.75" customHeight="1">
      <c r="A14" s="12"/>
      <c r="B14" s="8"/>
      <c r="C14" s="8"/>
      <c r="D14" s="8"/>
      <c r="E14" s="8"/>
      <c r="F14" s="8"/>
      <c r="G14" s="8"/>
      <c r="H14" s="8"/>
      <c r="I14" s="8"/>
      <c r="J14" s="8"/>
      <c r="K14" s="11"/>
      <c r="L14" s="39"/>
      <c r="M14" s="39"/>
      <c r="N14" s="39"/>
      <c r="O14" s="39"/>
      <c r="P14" s="39"/>
      <c r="Q14" s="39" t="e">
        <f>IF(#REF!="Skandi",#REF!,IF(OR(#REF!="TOP",#REF!="SKV",#REF!="SKN"),#REF!,"erro"))</f>
        <v>#REF!</v>
      </c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8"/>
      <c r="AG14" s="38"/>
      <c r="AH14" s="38" t="s">
        <v>28</v>
      </c>
      <c r="AI14" s="38">
        <f t="shared" si="0"/>
        <v>1618</v>
      </c>
      <c r="AJ14" s="38"/>
      <c r="AK14" s="38">
        <f>G38</f>
        <v>1618</v>
      </c>
    </row>
    <row r="15" spans="1:37" s="2" customFormat="1" ht="15.75" customHeight="1">
      <c r="A15" s="57" t="s">
        <v>29</v>
      </c>
      <c r="B15" s="58"/>
      <c r="C15" s="66" t="s">
        <v>30</v>
      </c>
      <c r="D15" s="66"/>
      <c r="E15" s="66"/>
      <c r="F15" s="66"/>
      <c r="G15" s="66"/>
      <c r="H15" s="66"/>
      <c r="I15" s="66"/>
      <c r="J15" s="66"/>
      <c r="K15" s="67"/>
      <c r="L15" s="39"/>
      <c r="M15" s="39"/>
      <c r="N15" s="39"/>
      <c r="O15" s="39"/>
      <c r="P15" s="39"/>
      <c r="Q15" s="39" t="e">
        <f>IF(#REF!="Skandi",#REF!,IF(OR(#REF!="TOP",#REF!="SKV",#REF!="SKN"),#REF!,"erro"))</f>
        <v>#REF!</v>
      </c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8"/>
      <c r="AG15" s="38"/>
      <c r="AH15" s="38" t="s">
        <v>31</v>
      </c>
      <c r="AI15" s="38">
        <f t="shared" si="0"/>
        <v>322</v>
      </c>
      <c r="AJ15" s="38"/>
      <c r="AK15" s="38">
        <f>H38</f>
        <v>322</v>
      </c>
    </row>
    <row r="16" spans="1:37" s="2" customFormat="1" ht="15.75" customHeight="1">
      <c r="A16" s="57"/>
      <c r="B16" s="58"/>
      <c r="C16" s="66"/>
      <c r="D16" s="66"/>
      <c r="E16" s="66"/>
      <c r="F16" s="66"/>
      <c r="G16" s="66"/>
      <c r="H16" s="66"/>
      <c r="I16" s="66"/>
      <c r="J16" s="66"/>
      <c r="K16" s="67"/>
      <c r="L16" s="39"/>
      <c r="M16" s="39"/>
      <c r="N16" s="39"/>
      <c r="O16" s="39"/>
      <c r="P16" s="39"/>
      <c r="Q16" s="39" t="e">
        <f>IF(#REF!="Skandi",#REF!,IF(OR(#REF!="TOP",#REF!="SKV",#REF!="SKN"),#REF!,"erro"))</f>
        <v>#REF!</v>
      </c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8"/>
      <c r="AG16" s="38"/>
      <c r="AH16" s="38" t="s">
        <v>32</v>
      </c>
      <c r="AI16" s="38">
        <f t="shared" si="0"/>
        <v>1620</v>
      </c>
      <c r="AJ16" s="38"/>
      <c r="AK16" s="38">
        <f>I38</f>
        <v>1620</v>
      </c>
    </row>
    <row r="17" spans="1:37" s="2" customFormat="1" ht="15.75" customHeight="1">
      <c r="A17" s="57"/>
      <c r="B17" s="58"/>
      <c r="C17" s="66"/>
      <c r="D17" s="66"/>
      <c r="E17" s="66"/>
      <c r="F17" s="66"/>
      <c r="G17" s="66"/>
      <c r="H17" s="66"/>
      <c r="I17" s="66"/>
      <c r="J17" s="66"/>
      <c r="K17" s="67"/>
      <c r="L17" s="39"/>
      <c r="M17" s="39"/>
      <c r="N17" s="39"/>
      <c r="O17" s="39"/>
      <c r="P17" s="39"/>
      <c r="Q17" s="39" t="e">
        <f>IF(#REF!="Skandi",#REF!,IF(OR(#REF!="TOP",#REF!="SKV",#REF!="SKN"),#REF!,"erro"))</f>
        <v>#REF!</v>
      </c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8"/>
      <c r="AG17" s="38"/>
      <c r="AH17" s="38" t="s">
        <v>33</v>
      </c>
      <c r="AI17" s="38">
        <f t="shared" si="0"/>
        <v>1773</v>
      </c>
      <c r="AJ17" s="38"/>
      <c r="AK17" s="38">
        <f>J38</f>
        <v>1773</v>
      </c>
    </row>
    <row r="18" spans="1:37" s="2" customFormat="1" ht="15.75" customHeight="1">
      <c r="A18" s="7"/>
      <c r="B18" s="1"/>
      <c r="C18" s="1"/>
      <c r="D18" s="1"/>
      <c r="E18" s="1"/>
      <c r="F18" s="1"/>
      <c r="G18" s="1"/>
      <c r="H18" s="1"/>
      <c r="I18" s="1"/>
      <c r="J18" s="1"/>
      <c r="K18" s="14"/>
      <c r="L18" s="39"/>
      <c r="M18" s="39"/>
      <c r="N18" s="39"/>
      <c r="O18" s="39"/>
      <c r="P18" s="39"/>
      <c r="Q18" s="39" t="e">
        <f>IF(#REF!="Skandi",#REF!,IF(OR(#REF!="TOP",#REF!="SKV",#REF!="SKN"),#REF!,"erro"))</f>
        <v>#REF!</v>
      </c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8"/>
      <c r="AG18" s="38"/>
      <c r="AH18" s="38" t="s">
        <v>34</v>
      </c>
      <c r="AI18" s="38" t="str">
        <f t="shared" si="0"/>
        <v>10133646 / 10001714705 (AS-240) Rev. 06</v>
      </c>
      <c r="AJ18" s="38"/>
      <c r="AK18" s="38" t="str">
        <f>B39</f>
        <v>10133646 / 10001714705 (AS-240) Rev. 06</v>
      </c>
    </row>
    <row r="19" spans="1:37" s="2" customFormat="1" ht="15.75" customHeight="1">
      <c r="A19" s="48" t="s">
        <v>35</v>
      </c>
      <c r="B19" s="49"/>
      <c r="C19" s="49"/>
      <c r="D19" s="49"/>
      <c r="E19" s="49"/>
      <c r="F19" s="49"/>
      <c r="G19" s="49"/>
      <c r="H19" s="49"/>
      <c r="I19" s="49"/>
      <c r="J19" s="49"/>
      <c r="K19" s="50"/>
      <c r="L19" s="39"/>
      <c r="M19" s="39"/>
      <c r="N19" s="39"/>
      <c r="O19" s="39"/>
      <c r="P19" s="39"/>
      <c r="Q19" s="39" t="e">
        <f>IF(#REF!="Skandi",#REF!,IF(OR(#REF!="TOP",#REF!="SKV",#REF!="SKN"),#REF!,"erro"))</f>
        <v>#REF!</v>
      </c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8"/>
      <c r="AG19" s="38"/>
      <c r="AH19" s="38" t="s">
        <v>36</v>
      </c>
      <c r="AI19" s="38" t="str">
        <f t="shared" si="0"/>
        <v>TR 53075 38</v>
      </c>
      <c r="AJ19" s="38"/>
      <c r="AK19" s="38" t="str">
        <f>B42</f>
        <v>TR 53075 38</v>
      </c>
    </row>
    <row r="20" spans="1:37" s="2" customFormat="1" ht="15.75" customHeight="1">
      <c r="A20" s="13" t="s">
        <v>37</v>
      </c>
      <c r="B20" s="15"/>
      <c r="C20" s="52" t="s">
        <v>38</v>
      </c>
      <c r="D20" s="52"/>
      <c r="E20" s="52"/>
      <c r="F20" s="52"/>
      <c r="G20" s="52"/>
      <c r="H20" s="52"/>
      <c r="I20" s="52"/>
      <c r="J20" s="52"/>
      <c r="K20" s="65"/>
      <c r="L20" s="39"/>
      <c r="M20" s="39"/>
      <c r="N20" s="39"/>
      <c r="O20" s="39"/>
      <c r="P20" s="39"/>
      <c r="Q20" s="39" t="e">
        <f>IF(#REF!="Skandi",#REF!,IF(OR(#REF!="TOP",#REF!="SKV",#REF!="SKN"),#REF!,"erro"))</f>
        <v>#REF!</v>
      </c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8"/>
      <c r="AG20" s="38"/>
      <c r="AH20" s="38" t="s">
        <v>39</v>
      </c>
      <c r="AI20" s="38" t="str">
        <f t="shared" si="0"/>
        <v>anexo ao RL</v>
      </c>
      <c r="AJ20" s="38"/>
      <c r="AK20" s="38" t="str">
        <f>B43</f>
        <v>anexo ao RL</v>
      </c>
    </row>
    <row r="21" spans="1:37" s="2" customFormat="1" ht="15.75" customHeight="1">
      <c r="A21" s="13" t="s">
        <v>40</v>
      </c>
      <c r="B21" s="15"/>
      <c r="C21" s="52" t="s">
        <v>41</v>
      </c>
      <c r="D21" s="52"/>
      <c r="E21" s="52"/>
      <c r="F21" s="15"/>
      <c r="G21" s="15"/>
      <c r="H21" s="15"/>
      <c r="I21" s="16" t="s">
        <v>42</v>
      </c>
      <c r="J21" s="16"/>
      <c r="K21" s="17">
        <v>0</v>
      </c>
      <c r="L21" s="39"/>
      <c r="M21" s="39"/>
      <c r="N21" s="39"/>
      <c r="O21" s="39"/>
      <c r="P21" s="39"/>
      <c r="Q21" s="39" t="e">
        <f>IF(#REF!="Skandi",#REF!,IF(OR(#REF!="TOP",#REF!="SKV",#REF!="SKN"),#REF!,"erro"))</f>
        <v>#REF!</v>
      </c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8"/>
      <c r="AG21" s="38"/>
      <c r="AH21" s="38" t="s">
        <v>43</v>
      </c>
      <c r="AI21" s="38">
        <f t="shared" si="0"/>
        <v>990</v>
      </c>
      <c r="AJ21" s="38"/>
      <c r="AK21" s="38">
        <f>K44</f>
        <v>990</v>
      </c>
    </row>
    <row r="22" spans="1:37" s="2" customFormat="1" ht="15.75" customHeight="1">
      <c r="A22" s="13"/>
      <c r="B22" s="16"/>
      <c r="C22" s="16"/>
      <c r="D22" s="16"/>
      <c r="E22" s="16"/>
      <c r="F22" s="16"/>
      <c r="G22" s="16"/>
      <c r="H22" s="16"/>
      <c r="I22" s="16"/>
      <c r="J22" s="16"/>
      <c r="K22" s="11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8"/>
      <c r="AG22" s="38"/>
      <c r="AH22" s="38" t="s">
        <v>44</v>
      </c>
      <c r="AI22" s="38">
        <f t="shared" si="0"/>
        <v>152.54902999999999</v>
      </c>
      <c r="AJ22" s="38"/>
      <c r="AK22" s="38">
        <f t="shared" ref="AK22:AK24" si="1">K45</f>
        <v>152.54902999999999</v>
      </c>
    </row>
    <row r="23" spans="1:37" s="2" customFormat="1" ht="15.75" customHeight="1">
      <c r="A23" s="13" t="s">
        <v>45</v>
      </c>
      <c r="B23" s="16"/>
      <c r="C23" s="16"/>
      <c r="D23" s="16"/>
      <c r="E23" s="16"/>
      <c r="F23" s="16"/>
      <c r="G23" s="16"/>
      <c r="H23" s="16"/>
      <c r="I23" s="16"/>
      <c r="J23" s="16"/>
      <c r="K23" s="17" t="s">
        <v>46</v>
      </c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8"/>
      <c r="AG23" s="38"/>
      <c r="AH23" s="38" t="s">
        <v>47</v>
      </c>
      <c r="AI23" s="38">
        <f t="shared" si="0"/>
        <v>377.8</v>
      </c>
      <c r="AJ23" s="38"/>
      <c r="AK23" s="38">
        <f t="shared" si="1"/>
        <v>377.8</v>
      </c>
    </row>
    <row r="24" spans="1:37" s="2" customFormat="1" ht="15.75" customHeight="1">
      <c r="A24" s="43" t="s">
        <v>48</v>
      </c>
      <c r="B24" s="44"/>
      <c r="C24" s="44"/>
      <c r="D24" s="44"/>
      <c r="E24" s="44"/>
      <c r="F24" s="44"/>
      <c r="G24" s="44"/>
      <c r="H24" s="44"/>
      <c r="I24" s="44"/>
      <c r="J24" s="16"/>
      <c r="K24" s="18" t="s">
        <v>49</v>
      </c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8"/>
      <c r="AG24" s="38"/>
      <c r="AH24" s="38" t="s">
        <v>50</v>
      </c>
      <c r="AI24" s="38">
        <f t="shared" si="0"/>
        <v>152.4</v>
      </c>
      <c r="AJ24" s="38"/>
      <c r="AK24" s="38">
        <f t="shared" si="1"/>
        <v>152.4</v>
      </c>
    </row>
    <row r="25" spans="1:37" s="2" customFormat="1" ht="15.75" customHeight="1">
      <c r="A25" s="13" t="s">
        <v>51</v>
      </c>
      <c r="B25" s="16"/>
      <c r="C25" s="16"/>
      <c r="D25" s="16"/>
      <c r="E25" s="16"/>
      <c r="F25" s="16"/>
      <c r="G25" s="16"/>
      <c r="H25" s="16"/>
      <c r="I25" s="16"/>
      <c r="J25" s="16"/>
      <c r="K25" s="17" t="s">
        <v>52</v>
      </c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8"/>
      <c r="AG25" s="38"/>
      <c r="AH25" s="38" t="s">
        <v>53</v>
      </c>
      <c r="AI25" s="38">
        <f t="shared" si="0"/>
        <v>193.26</v>
      </c>
      <c r="AJ25" s="38"/>
      <c r="AK25" s="38">
        <f>D48</f>
        <v>193.26</v>
      </c>
    </row>
    <row r="26" spans="1:37" s="2" customFormat="1" ht="15.75" customHeight="1">
      <c r="A26" s="13" t="s">
        <v>54</v>
      </c>
      <c r="B26" s="16"/>
      <c r="C26" s="16"/>
      <c r="D26" s="16"/>
      <c r="E26" s="16"/>
      <c r="F26" s="16"/>
      <c r="G26" s="16"/>
      <c r="H26" s="16"/>
      <c r="I26" s="16"/>
      <c r="J26" s="16"/>
      <c r="K26" s="18" t="s">
        <v>55</v>
      </c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8"/>
      <c r="AG26" s="38"/>
      <c r="AH26" s="38" t="s">
        <v>56</v>
      </c>
      <c r="AI26" s="38">
        <f t="shared" si="0"/>
        <v>78.36</v>
      </c>
      <c r="AJ26" s="38"/>
      <c r="AK26" s="38">
        <f>D49</f>
        <v>78.36</v>
      </c>
    </row>
    <row r="27" spans="1:37" s="2" customFormat="1" ht="15.75" customHeight="1">
      <c r="A27" s="43" t="s">
        <v>57</v>
      </c>
      <c r="B27" s="44"/>
      <c r="C27" s="44"/>
      <c r="D27" s="44"/>
      <c r="E27" s="44"/>
      <c r="F27" s="44"/>
      <c r="G27" s="44"/>
      <c r="H27" s="44"/>
      <c r="I27" s="44"/>
      <c r="J27" s="16"/>
      <c r="K27" s="19">
        <v>2232</v>
      </c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8"/>
      <c r="AG27" s="38"/>
      <c r="AH27" s="38" t="s">
        <v>58</v>
      </c>
      <c r="AI27" s="38">
        <f t="shared" si="0"/>
        <v>213.96</v>
      </c>
      <c r="AJ27" s="38"/>
      <c r="AK27" s="38">
        <f>K48</f>
        <v>213.96</v>
      </c>
    </row>
    <row r="28" spans="1:37" s="2" customFormat="1" ht="15.75" customHeight="1">
      <c r="A28" s="43" t="s">
        <v>59</v>
      </c>
      <c r="B28" s="44"/>
      <c r="C28" s="44"/>
      <c r="D28" s="44"/>
      <c r="E28" s="44"/>
      <c r="F28" s="44"/>
      <c r="G28" s="44"/>
      <c r="H28" s="44"/>
      <c r="I28" s="44"/>
      <c r="J28" s="16"/>
      <c r="K28" s="19" t="s">
        <v>60</v>
      </c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8"/>
      <c r="AG28" s="38"/>
      <c r="AH28" s="38" t="s">
        <v>61</v>
      </c>
      <c r="AI28" s="38">
        <f t="shared" si="0"/>
        <v>99.05</v>
      </c>
      <c r="AJ28" s="38"/>
      <c r="AK28" s="38">
        <f>K49</f>
        <v>99.05</v>
      </c>
    </row>
    <row r="29" spans="1:37" s="2" customFormat="1" ht="15.75" customHeight="1">
      <c r="A29" s="13" t="s">
        <v>62</v>
      </c>
      <c r="B29" s="16"/>
      <c r="C29" s="16"/>
      <c r="D29" s="16"/>
      <c r="E29" s="16"/>
      <c r="F29" s="16"/>
      <c r="G29" s="16"/>
      <c r="H29" s="16"/>
      <c r="I29" s="16"/>
      <c r="J29" s="16"/>
      <c r="K29" s="19" t="s">
        <v>63</v>
      </c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8"/>
      <c r="AG29" s="38"/>
      <c r="AH29" s="38" t="s">
        <v>64</v>
      </c>
      <c r="AI29" s="38">
        <f t="shared" si="0"/>
        <v>3.07</v>
      </c>
      <c r="AJ29" s="38"/>
      <c r="AK29" s="38">
        <f t="shared" ref="AK29:AK37" si="2">K50</f>
        <v>3.07</v>
      </c>
    </row>
    <row r="30" spans="1:37" s="2" customFormat="1" ht="15.75" customHeight="1">
      <c r="A30" s="13" t="s">
        <v>65</v>
      </c>
      <c r="B30" s="8"/>
      <c r="C30" s="8"/>
      <c r="D30" s="8"/>
      <c r="E30" s="8"/>
      <c r="F30" s="8"/>
      <c r="G30" s="8"/>
      <c r="H30" s="8"/>
      <c r="I30" s="8"/>
      <c r="J30" s="8"/>
      <c r="K30" s="18" t="s">
        <v>66</v>
      </c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8"/>
      <c r="AG30" s="38"/>
      <c r="AH30" s="38" t="s">
        <v>67</v>
      </c>
      <c r="AI30" s="38">
        <f t="shared" si="0"/>
        <v>148.29</v>
      </c>
      <c r="AJ30" s="38"/>
      <c r="AK30" s="38">
        <f t="shared" si="2"/>
        <v>148.29</v>
      </c>
    </row>
    <row r="31" spans="1:37" s="2" customFormat="1" ht="15.75" customHeight="1">
      <c r="A31" s="48" t="s">
        <v>68</v>
      </c>
      <c r="B31" s="49"/>
      <c r="C31" s="49"/>
      <c r="D31" s="49"/>
      <c r="E31" s="49"/>
      <c r="F31" s="49"/>
      <c r="G31" s="49"/>
      <c r="H31" s="49"/>
      <c r="I31" s="49"/>
      <c r="J31" s="49"/>
      <c r="K31" s="50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8"/>
      <c r="AG31" s="38"/>
      <c r="AH31" s="38" t="s">
        <v>69</v>
      </c>
      <c r="AI31" s="38" t="str">
        <f t="shared" si="0"/>
        <v>-</v>
      </c>
      <c r="AJ31" s="38"/>
      <c r="AK31" s="38" t="str">
        <f t="shared" si="2"/>
        <v>-</v>
      </c>
    </row>
    <row r="32" spans="1:37" s="2" customFormat="1" ht="15.75" customHeight="1">
      <c r="A32" s="20" t="s">
        <v>70</v>
      </c>
      <c r="B32" s="51" t="s">
        <v>71</v>
      </c>
      <c r="C32" s="51"/>
      <c r="D32" s="51"/>
      <c r="E32" s="21" t="s">
        <v>72</v>
      </c>
      <c r="F32" s="22">
        <v>0</v>
      </c>
      <c r="G32" s="8"/>
      <c r="H32" s="23"/>
      <c r="I32" s="8"/>
      <c r="J32" s="8"/>
      <c r="K32" s="11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8"/>
      <c r="AG32" s="38"/>
      <c r="AH32" s="38" t="s">
        <v>73</v>
      </c>
      <c r="AI32" s="38">
        <f t="shared" si="0"/>
        <v>9.8150000000000008E-3</v>
      </c>
      <c r="AJ32" s="38"/>
      <c r="AK32" s="38">
        <f t="shared" si="2"/>
        <v>9.8150000000000008E-3</v>
      </c>
    </row>
    <row r="33" spans="1:37" s="2" customFormat="1" ht="15.75" customHeight="1">
      <c r="A33" s="12"/>
      <c r="B33" s="8"/>
      <c r="C33" s="8"/>
      <c r="D33" s="8"/>
      <c r="E33" s="8"/>
      <c r="F33" s="8"/>
      <c r="G33" s="8"/>
      <c r="H33" s="8"/>
      <c r="I33" s="8"/>
      <c r="J33" s="8"/>
      <c r="K33" s="11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8"/>
      <c r="AG33" s="38"/>
      <c r="AH33" s="38" t="s">
        <v>74</v>
      </c>
      <c r="AI33" s="38" t="str">
        <f t="shared" si="0"/>
        <v>TechnipFMC</v>
      </c>
      <c r="AJ33" s="38"/>
      <c r="AK33" s="38" t="str">
        <f t="shared" si="2"/>
        <v>TechnipFMC</v>
      </c>
    </row>
    <row r="34" spans="1:37" s="2" customFormat="1" ht="15.75" customHeight="1">
      <c r="A34" s="13" t="s">
        <v>75</v>
      </c>
      <c r="B34" s="8"/>
      <c r="C34" s="51" t="s">
        <v>76</v>
      </c>
      <c r="D34" s="51"/>
      <c r="E34" s="8"/>
      <c r="F34" s="8"/>
      <c r="G34" s="8"/>
      <c r="H34" s="8"/>
      <c r="I34" s="8"/>
      <c r="J34" s="8"/>
      <c r="K34" s="11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8"/>
      <c r="AG34" s="38"/>
      <c r="AH34" s="38" t="s">
        <v>77</v>
      </c>
      <c r="AI34" s="38">
        <f t="shared" si="0"/>
        <v>4515</v>
      </c>
      <c r="AJ34" s="38"/>
      <c r="AK34" s="38">
        <f t="shared" si="2"/>
        <v>4515</v>
      </c>
    </row>
    <row r="35" spans="1:37" s="2" customFormat="1" ht="15.75" customHeight="1">
      <c r="A35" s="12"/>
      <c r="B35" s="8"/>
      <c r="C35" s="8"/>
      <c r="D35" s="8"/>
      <c r="E35" s="8"/>
      <c r="F35" s="8"/>
      <c r="G35" s="8"/>
      <c r="H35" s="8"/>
      <c r="I35" s="8"/>
      <c r="J35" s="8"/>
      <c r="K35" s="11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8"/>
      <c r="AG35" s="38"/>
      <c r="AH35" s="38" t="s">
        <v>78</v>
      </c>
      <c r="AI35" s="38" t="str">
        <f t="shared" si="0"/>
        <v>nota 5 do desenho</v>
      </c>
      <c r="AJ35" s="38"/>
      <c r="AK35" s="38" t="str">
        <f t="shared" si="2"/>
        <v>nota 5 do desenho</v>
      </c>
    </row>
    <row r="36" spans="1:37" s="2" customFormat="1" ht="15.75" customHeight="1">
      <c r="A36" s="20" t="s">
        <v>79</v>
      </c>
      <c r="B36" s="51" t="s">
        <v>80</v>
      </c>
      <c r="C36" s="51"/>
      <c r="D36" s="51"/>
      <c r="E36" s="21" t="s">
        <v>72</v>
      </c>
      <c r="F36" s="22">
        <v>0</v>
      </c>
      <c r="G36" s="8"/>
      <c r="H36" s="8"/>
      <c r="I36" s="8"/>
      <c r="J36" s="8"/>
      <c r="K36" s="11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8"/>
      <c r="AG36" s="38"/>
      <c r="AH36" s="38" t="s">
        <v>81</v>
      </c>
      <c r="AI36" s="38" t="str">
        <f t="shared" si="0"/>
        <v>nota 5 do desenho</v>
      </c>
      <c r="AJ36" s="38"/>
      <c r="AK36" s="38" t="str">
        <f t="shared" si="2"/>
        <v>nota 5 do desenho</v>
      </c>
    </row>
    <row r="37" spans="1:37" s="2" customFormat="1" ht="15.75" customHeight="1">
      <c r="A37" s="12"/>
      <c r="B37" s="24" t="s">
        <v>82</v>
      </c>
      <c r="C37" s="23" t="s">
        <v>83</v>
      </c>
      <c r="D37" s="23" t="s">
        <v>84</v>
      </c>
      <c r="E37" s="23" t="s">
        <v>85</v>
      </c>
      <c r="F37" s="23" t="s">
        <v>86</v>
      </c>
      <c r="G37" s="23" t="s">
        <v>87</v>
      </c>
      <c r="H37" s="23" t="s">
        <v>88</v>
      </c>
      <c r="I37" s="23" t="s">
        <v>89</v>
      </c>
      <c r="J37" s="23" t="s">
        <v>90</v>
      </c>
      <c r="K37" s="11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8"/>
      <c r="AG37" s="38"/>
      <c r="AH37" s="38" t="s">
        <v>91</v>
      </c>
      <c r="AI37" s="38">
        <f t="shared" si="0"/>
        <v>3.4140000000000001</v>
      </c>
      <c r="AJ37" s="38"/>
      <c r="AK37" s="38">
        <f t="shared" si="2"/>
        <v>3.4140000000000001</v>
      </c>
    </row>
    <row r="38" spans="1:37" s="2" customFormat="1" ht="15.75" customHeight="1">
      <c r="A38" s="20" t="s">
        <v>92</v>
      </c>
      <c r="B38" s="25">
        <v>70</v>
      </c>
      <c r="C38" s="26">
        <v>7662</v>
      </c>
      <c r="D38" s="26">
        <v>6513</v>
      </c>
      <c r="E38" s="25">
        <v>4400</v>
      </c>
      <c r="F38" s="25">
        <v>936</v>
      </c>
      <c r="G38" s="25">
        <v>1618</v>
      </c>
      <c r="H38" s="25">
        <v>322</v>
      </c>
      <c r="I38" s="25">
        <v>1620</v>
      </c>
      <c r="J38" s="25">
        <v>1773</v>
      </c>
      <c r="K38" s="11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8"/>
      <c r="AG38" s="38"/>
      <c r="AH38" s="38" t="s">
        <v>93</v>
      </c>
      <c r="AI38" s="38">
        <f t="shared" si="0"/>
        <v>545</v>
      </c>
      <c r="AJ38" s="38"/>
      <c r="AK38" s="38">
        <f>K59</f>
        <v>545</v>
      </c>
    </row>
    <row r="39" spans="1:37" s="2" customFormat="1" ht="15.75" customHeight="1">
      <c r="A39" s="20" t="s">
        <v>94</v>
      </c>
      <c r="B39" s="52" t="s">
        <v>95</v>
      </c>
      <c r="C39" s="52"/>
      <c r="D39" s="52"/>
      <c r="E39" s="8"/>
      <c r="F39" s="8"/>
      <c r="G39" s="8"/>
      <c r="H39" s="8"/>
      <c r="I39" s="8"/>
      <c r="J39" s="8"/>
      <c r="K39" s="11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8"/>
      <c r="AG39" s="38"/>
      <c r="AH39" s="38" t="s">
        <v>96</v>
      </c>
      <c r="AI39" s="38">
        <f t="shared" si="0"/>
        <v>280</v>
      </c>
      <c r="AJ39" s="38"/>
      <c r="AK39" s="38">
        <f>K60</f>
        <v>280</v>
      </c>
    </row>
    <row r="40" spans="1:37" s="2" customFormat="1" ht="15.75" customHeight="1">
      <c r="A40" s="12"/>
      <c r="B40" s="8"/>
      <c r="C40" s="8"/>
      <c r="D40" s="8"/>
      <c r="E40" s="8"/>
      <c r="F40" s="8"/>
      <c r="G40" s="8"/>
      <c r="H40" s="8"/>
      <c r="I40" s="8"/>
      <c r="J40" s="8"/>
      <c r="K40" s="11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8"/>
      <c r="AG40" s="38"/>
      <c r="AH40" s="38" t="s">
        <v>97</v>
      </c>
      <c r="AI40" s="38">
        <f t="shared" si="0"/>
        <v>1314</v>
      </c>
      <c r="AJ40" s="38"/>
      <c r="AK40" s="38">
        <f>C62</f>
        <v>1314</v>
      </c>
    </row>
    <row r="41" spans="1:37" s="2" customFormat="1" ht="15.75" customHeight="1">
      <c r="A41" s="48" t="s">
        <v>98</v>
      </c>
      <c r="B41" s="49"/>
      <c r="C41" s="49"/>
      <c r="D41" s="49"/>
      <c r="E41" s="49"/>
      <c r="F41" s="49"/>
      <c r="G41" s="49"/>
      <c r="H41" s="49"/>
      <c r="I41" s="49"/>
      <c r="J41" s="49"/>
      <c r="K41" s="50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8"/>
      <c r="AG41" s="38"/>
      <c r="AH41" s="38" t="s">
        <v>99</v>
      </c>
      <c r="AI41" s="38">
        <f t="shared" si="0"/>
        <v>1143</v>
      </c>
      <c r="AJ41" s="38"/>
      <c r="AK41" s="38">
        <f>D62</f>
        <v>1143</v>
      </c>
    </row>
    <row r="42" spans="1:37" s="2" customFormat="1" ht="15.75" customHeight="1">
      <c r="A42" s="20" t="s">
        <v>100</v>
      </c>
      <c r="B42" s="53" t="s">
        <v>101</v>
      </c>
      <c r="C42" s="53"/>
      <c r="D42" s="53"/>
      <c r="E42" s="53"/>
      <c r="F42" s="53"/>
      <c r="G42" s="53"/>
      <c r="H42" s="53"/>
      <c r="I42" s="21"/>
      <c r="J42" s="21"/>
      <c r="K42" s="11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8"/>
      <c r="AG42" s="38"/>
      <c r="AH42" s="38" t="s">
        <v>102</v>
      </c>
      <c r="AI42" s="38" t="str">
        <f t="shared" si="0"/>
        <v>079741-000-DW-5212-0057 Rev. 0</v>
      </c>
      <c r="AJ42" s="38"/>
      <c r="AK42" s="38" t="str">
        <f>E62</f>
        <v>079741-000-DW-5212-0057 Rev. 0</v>
      </c>
    </row>
    <row r="43" spans="1:37" s="2" customFormat="1" ht="15.75" customHeight="1">
      <c r="A43" s="20" t="s">
        <v>103</v>
      </c>
      <c r="B43" s="53" t="s">
        <v>104</v>
      </c>
      <c r="C43" s="53"/>
      <c r="D43" s="53"/>
      <c r="E43" s="53"/>
      <c r="F43" s="53"/>
      <c r="G43" s="53"/>
      <c r="H43" s="53"/>
      <c r="I43" s="21"/>
      <c r="J43" s="21"/>
      <c r="K43" s="11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8"/>
      <c r="AG43" s="38"/>
      <c r="AH43" s="38" t="s">
        <v>105</v>
      </c>
      <c r="AI43" s="38">
        <f t="shared" si="0"/>
        <v>152.4</v>
      </c>
      <c r="AJ43" s="38"/>
      <c r="AK43" s="38">
        <f>I62</f>
        <v>152.4</v>
      </c>
    </row>
    <row r="44" spans="1:37" s="2" customFormat="1" ht="15.75" customHeight="1">
      <c r="A44" s="43" t="s">
        <v>106</v>
      </c>
      <c r="B44" s="44"/>
      <c r="C44" s="44"/>
      <c r="D44" s="44"/>
      <c r="E44" s="44"/>
      <c r="F44" s="44"/>
      <c r="G44" s="44"/>
      <c r="H44" s="44"/>
      <c r="I44" s="44"/>
      <c r="J44" s="16"/>
      <c r="K44" s="17">
        <v>990</v>
      </c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8"/>
      <c r="AG44" s="38"/>
      <c r="AH44" s="38" t="s">
        <v>107</v>
      </c>
      <c r="AI44" s="38">
        <f t="shared" si="0"/>
        <v>1795</v>
      </c>
      <c r="AJ44" s="38"/>
      <c r="AK44" s="38">
        <f>K62</f>
        <v>1795</v>
      </c>
    </row>
    <row r="45" spans="1:37" s="2" customFormat="1" ht="15.75" customHeight="1">
      <c r="A45" s="43" t="s">
        <v>108</v>
      </c>
      <c r="B45" s="44"/>
      <c r="C45" s="44"/>
      <c r="D45" s="44"/>
      <c r="E45" s="44"/>
      <c r="F45" s="44"/>
      <c r="G45" s="44"/>
      <c r="H45" s="44"/>
      <c r="I45" s="44"/>
      <c r="J45" s="16"/>
      <c r="K45" s="17">
        <v>152.54902999999999</v>
      </c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8"/>
      <c r="AG45" s="38"/>
      <c r="AH45" s="38" t="s">
        <v>109</v>
      </c>
      <c r="AI45" s="38">
        <f t="shared" si="0"/>
        <v>2828</v>
      </c>
      <c r="AJ45" s="38"/>
      <c r="AK45" s="38">
        <f>C63</f>
        <v>2828</v>
      </c>
    </row>
    <row r="46" spans="1:37" s="2" customFormat="1" ht="15.75" customHeight="1">
      <c r="A46" s="45" t="s">
        <v>110</v>
      </c>
      <c r="B46" s="46"/>
      <c r="C46" s="46"/>
      <c r="D46" s="46"/>
      <c r="E46" s="46"/>
      <c r="F46" s="46"/>
      <c r="G46" s="46"/>
      <c r="H46" s="46"/>
      <c r="I46" s="46"/>
      <c r="J46" s="27"/>
      <c r="K46" s="28">
        <v>377.8</v>
      </c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8"/>
      <c r="AG46" s="38"/>
      <c r="AH46" s="38" t="s">
        <v>111</v>
      </c>
      <c r="AI46" s="38">
        <f t="shared" si="0"/>
        <v>2460</v>
      </c>
      <c r="AJ46" s="38"/>
      <c r="AK46" s="38">
        <f>D63</f>
        <v>2460</v>
      </c>
    </row>
    <row r="47" spans="1:37" s="2" customFormat="1" ht="15.75" customHeight="1">
      <c r="A47" s="45" t="s">
        <v>112</v>
      </c>
      <c r="B47" s="46"/>
      <c r="C47" s="46"/>
      <c r="D47" s="46"/>
      <c r="E47" s="46"/>
      <c r="F47" s="46"/>
      <c r="G47" s="46"/>
      <c r="H47" s="46"/>
      <c r="I47" s="46"/>
      <c r="J47" s="27"/>
      <c r="K47" s="29">
        <v>152.4</v>
      </c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8"/>
      <c r="AG47" s="38"/>
      <c r="AH47" s="38" t="s">
        <v>113</v>
      </c>
      <c r="AI47" s="38" t="str">
        <f t="shared" si="0"/>
        <v>079741-000-DW-5224-0008 Rev. 0</v>
      </c>
      <c r="AJ47" s="38"/>
      <c r="AK47" s="38" t="str">
        <f>E63</f>
        <v>079741-000-DW-5224-0008 Rev. 0</v>
      </c>
    </row>
    <row r="48" spans="1:37" s="2" customFormat="1" ht="15.75" customHeight="1">
      <c r="A48" s="13" t="s">
        <v>114</v>
      </c>
      <c r="B48" s="16"/>
      <c r="C48" s="16"/>
      <c r="D48" s="26">
        <v>193.26</v>
      </c>
      <c r="E48" s="16"/>
      <c r="F48" s="16" t="s">
        <v>115</v>
      </c>
      <c r="G48" s="16"/>
      <c r="H48" s="16"/>
      <c r="I48" s="16"/>
      <c r="J48" s="16"/>
      <c r="K48" s="17">
        <v>213.96</v>
      </c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8"/>
      <c r="AG48" s="38"/>
      <c r="AH48" s="38" t="s">
        <v>116</v>
      </c>
      <c r="AI48" s="38">
        <f t="shared" si="0"/>
        <v>404</v>
      </c>
      <c r="AJ48" s="38"/>
      <c r="AK48" s="38">
        <f>I63</f>
        <v>404</v>
      </c>
    </row>
    <row r="49" spans="1:37" s="2" customFormat="1" ht="15.75" customHeight="1">
      <c r="A49" s="13" t="s">
        <v>117</v>
      </c>
      <c r="B49" s="8"/>
      <c r="C49" s="8"/>
      <c r="D49" s="26">
        <v>78.36</v>
      </c>
      <c r="E49" s="8"/>
      <c r="F49" s="16" t="s">
        <v>118</v>
      </c>
      <c r="G49" s="8"/>
      <c r="H49" s="8"/>
      <c r="I49" s="8"/>
      <c r="J49" s="8"/>
      <c r="K49" s="17">
        <v>99.05</v>
      </c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8"/>
      <c r="AG49" s="38"/>
      <c r="AH49" s="38" t="s">
        <v>119</v>
      </c>
      <c r="AI49" s="38">
        <f t="shared" si="0"/>
        <v>774</v>
      </c>
      <c r="AJ49" s="38"/>
      <c r="AK49" s="38">
        <f>J63</f>
        <v>774</v>
      </c>
    </row>
    <row r="50" spans="1:37" s="2" customFormat="1" ht="15.75" customHeight="1">
      <c r="A50" s="45" t="s">
        <v>120</v>
      </c>
      <c r="B50" s="46"/>
      <c r="C50" s="46"/>
      <c r="D50" s="46"/>
      <c r="E50" s="46"/>
      <c r="F50" s="46"/>
      <c r="G50" s="46"/>
      <c r="H50" s="46"/>
      <c r="I50" s="46"/>
      <c r="J50" s="27"/>
      <c r="K50" s="19">
        <v>3.07</v>
      </c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8"/>
      <c r="AG50" s="38"/>
      <c r="AH50" s="38" t="s">
        <v>121</v>
      </c>
      <c r="AI50" s="38" t="e">
        <f t="shared" si="0"/>
        <v>#N/A</v>
      </c>
      <c r="AJ50" s="38"/>
      <c r="AK50" s="38" t="e">
        <f>C64</f>
        <v>#N/A</v>
      </c>
    </row>
    <row r="51" spans="1:37" s="2" customFormat="1" ht="15.75" customHeight="1">
      <c r="A51" s="43" t="s">
        <v>122</v>
      </c>
      <c r="B51" s="44"/>
      <c r="C51" s="44"/>
      <c r="D51" s="44"/>
      <c r="E51" s="44"/>
      <c r="F51" s="44"/>
      <c r="G51" s="44"/>
      <c r="H51" s="44"/>
      <c r="I51" s="44"/>
      <c r="J51" s="16"/>
      <c r="K51" s="19">
        <v>148.29</v>
      </c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8"/>
      <c r="AG51" s="38"/>
      <c r="AH51" s="38" t="s">
        <v>123</v>
      </c>
      <c r="AI51" s="38" t="e">
        <f t="shared" si="0"/>
        <v>#N/A</v>
      </c>
      <c r="AJ51" s="38"/>
      <c r="AK51" s="38" t="e">
        <f>D64</f>
        <v>#N/A</v>
      </c>
    </row>
    <row r="52" spans="1:37" s="2" customFormat="1" ht="15.75" customHeight="1">
      <c r="A52" s="43" t="s">
        <v>124</v>
      </c>
      <c r="B52" s="44"/>
      <c r="C52" s="44"/>
      <c r="D52" s="44"/>
      <c r="E52" s="44"/>
      <c r="F52" s="44"/>
      <c r="G52" s="44"/>
      <c r="H52" s="44"/>
      <c r="I52" s="44"/>
      <c r="J52" s="16"/>
      <c r="K52" s="19" t="s">
        <v>125</v>
      </c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8"/>
      <c r="AG52" s="38"/>
      <c r="AH52" s="38" t="s">
        <v>126</v>
      </c>
      <c r="AI52" s="38" t="e">
        <f t="shared" si="0"/>
        <v>#N/A</v>
      </c>
      <c r="AJ52" s="38"/>
      <c r="AK52" s="38" t="e">
        <f>E64</f>
        <v>#N/A</v>
      </c>
    </row>
    <row r="53" spans="1:37" s="2" customFormat="1" ht="15.75" customHeight="1">
      <c r="A53" s="13" t="s">
        <v>127</v>
      </c>
      <c r="B53" s="16"/>
      <c r="C53" s="16"/>
      <c r="D53" s="16"/>
      <c r="E53" s="16"/>
      <c r="F53" s="16"/>
      <c r="G53" s="16"/>
      <c r="H53" s="16"/>
      <c r="I53" s="16"/>
      <c r="J53" s="16"/>
      <c r="K53" s="30">
        <v>9.8150000000000008E-3</v>
      </c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8"/>
      <c r="AG53" s="38"/>
      <c r="AH53" s="38" t="s">
        <v>128</v>
      </c>
      <c r="AI53" s="38">
        <f t="shared" si="0"/>
        <v>180</v>
      </c>
      <c r="AJ53" s="38"/>
      <c r="AK53" s="38">
        <f>C65</f>
        <v>180</v>
      </c>
    </row>
    <row r="54" spans="1:37" s="2" customFormat="1" ht="15.75" customHeight="1">
      <c r="A54" s="13" t="s">
        <v>129</v>
      </c>
      <c r="B54" s="16"/>
      <c r="C54" s="16"/>
      <c r="D54" s="16"/>
      <c r="E54" s="16"/>
      <c r="F54" s="16"/>
      <c r="G54" s="16"/>
      <c r="H54" s="16"/>
      <c r="I54" s="16"/>
      <c r="J54" s="16"/>
      <c r="K54" s="19" t="s">
        <v>130</v>
      </c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8"/>
      <c r="AG54" s="38"/>
      <c r="AH54" s="38" t="s">
        <v>131</v>
      </c>
      <c r="AI54" s="38">
        <f t="shared" si="0"/>
        <v>156.6</v>
      </c>
      <c r="AJ54" s="38"/>
      <c r="AK54" s="38">
        <f>D65</f>
        <v>156.6</v>
      </c>
    </row>
    <row r="55" spans="1:37" s="2" customFormat="1" ht="15.75" customHeight="1">
      <c r="A55" s="20" t="s">
        <v>132</v>
      </c>
      <c r="B55" s="8"/>
      <c r="C55" s="8"/>
      <c r="D55" s="16"/>
      <c r="E55" s="16"/>
      <c r="F55" s="16"/>
      <c r="G55" s="8"/>
      <c r="H55" s="8"/>
      <c r="I55" s="8"/>
      <c r="J55" s="8"/>
      <c r="K55" s="31">
        <v>4515</v>
      </c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8"/>
      <c r="AG55" s="38"/>
      <c r="AH55" s="38" t="s">
        <v>133</v>
      </c>
      <c r="AI55" s="38" t="str">
        <f t="shared" si="0"/>
        <v>079741-000-DW-5104-0017 POS 16 Rev. 1</v>
      </c>
      <c r="AJ55" s="38"/>
      <c r="AK55" s="38" t="str">
        <f>E65</f>
        <v>079741-000-DW-5104-0017 POS 16 Rev. 1</v>
      </c>
    </row>
    <row r="56" spans="1:37" s="2" customFormat="1" ht="15.75" customHeight="1">
      <c r="A56" s="20" t="s">
        <v>134</v>
      </c>
      <c r="B56" s="8"/>
      <c r="C56" s="8"/>
      <c r="D56" s="16"/>
      <c r="E56" s="16"/>
      <c r="F56" s="16"/>
      <c r="G56" s="8"/>
      <c r="H56" s="8"/>
      <c r="I56" s="8"/>
      <c r="J56" s="8"/>
      <c r="K56" s="31" t="s">
        <v>135</v>
      </c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8"/>
      <c r="AG56" s="38"/>
      <c r="AH56" s="38" t="s">
        <v>136</v>
      </c>
      <c r="AI56" s="38">
        <f t="shared" si="0"/>
        <v>0</v>
      </c>
      <c r="AJ56" s="38"/>
      <c r="AK56" s="38">
        <f>G65</f>
        <v>0</v>
      </c>
    </row>
    <row r="57" spans="1:37" s="2" customFormat="1" ht="15.75" customHeight="1">
      <c r="A57" s="20" t="s">
        <v>137</v>
      </c>
      <c r="B57" s="8"/>
      <c r="C57" s="8"/>
      <c r="D57" s="16"/>
      <c r="E57" s="16"/>
      <c r="F57" s="16"/>
      <c r="G57" s="8"/>
      <c r="H57" s="8"/>
      <c r="I57" s="8"/>
      <c r="J57" s="8"/>
      <c r="K57" s="31" t="s">
        <v>135</v>
      </c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8"/>
      <c r="AG57" s="38"/>
      <c r="AH57" s="38"/>
      <c r="AI57" s="38"/>
      <c r="AJ57" s="38"/>
      <c r="AK57" s="38"/>
    </row>
    <row r="58" spans="1:37" s="2" customFormat="1" ht="15.75" customHeight="1">
      <c r="A58" s="20" t="s">
        <v>138</v>
      </c>
      <c r="B58" s="8"/>
      <c r="C58" s="8"/>
      <c r="D58" s="16"/>
      <c r="E58" s="16"/>
      <c r="F58" s="16"/>
      <c r="G58" s="8"/>
      <c r="H58" s="8"/>
      <c r="I58" s="8"/>
      <c r="J58" s="8"/>
      <c r="K58" s="31">
        <v>3.4140000000000001</v>
      </c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8"/>
      <c r="AG58" s="38"/>
      <c r="AH58" s="38"/>
      <c r="AI58" s="38"/>
      <c r="AJ58" s="38"/>
      <c r="AK58" s="38"/>
    </row>
    <row r="59" spans="1:37" s="2" customFormat="1" ht="15.75" customHeight="1">
      <c r="A59" s="20" t="s">
        <v>139</v>
      </c>
      <c r="B59" s="8"/>
      <c r="C59" s="8"/>
      <c r="D59" s="16"/>
      <c r="E59" s="16"/>
      <c r="F59" s="16"/>
      <c r="G59" s="8"/>
      <c r="H59" s="8"/>
      <c r="I59" s="8"/>
      <c r="J59" s="8"/>
      <c r="K59" s="31">
        <v>545</v>
      </c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8"/>
      <c r="AG59" s="38"/>
      <c r="AH59" s="38"/>
      <c r="AI59" s="38"/>
      <c r="AJ59" s="38"/>
      <c r="AK59" s="38"/>
    </row>
    <row r="60" spans="1:37" s="2" customFormat="1" ht="15.75" customHeight="1">
      <c r="A60" s="20" t="s">
        <v>140</v>
      </c>
      <c r="B60" s="8"/>
      <c r="C60" s="8"/>
      <c r="D60" s="16"/>
      <c r="E60" s="16"/>
      <c r="F60" s="16"/>
      <c r="G60" s="8"/>
      <c r="H60" s="8"/>
      <c r="I60" s="8"/>
      <c r="J60" s="8"/>
      <c r="K60" s="31">
        <v>280</v>
      </c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8"/>
      <c r="AG60" s="38"/>
      <c r="AH60" s="38"/>
      <c r="AI60" s="38"/>
      <c r="AJ60" s="38"/>
      <c r="AK60" s="38"/>
    </row>
    <row r="61" spans="1:37" s="2" customFormat="1" ht="15.75" customHeight="1">
      <c r="A61" s="13"/>
      <c r="B61" s="23" t="s">
        <v>82</v>
      </c>
      <c r="C61" s="16" t="s">
        <v>141</v>
      </c>
      <c r="D61" s="16" t="s">
        <v>84</v>
      </c>
      <c r="E61" s="47" t="s">
        <v>142</v>
      </c>
      <c r="F61" s="47"/>
      <c r="G61" s="47" t="s">
        <v>143</v>
      </c>
      <c r="H61" s="47"/>
      <c r="I61" s="23" t="s">
        <v>144</v>
      </c>
      <c r="J61" s="23" t="s">
        <v>145</v>
      </c>
      <c r="K61" s="32" t="s">
        <v>146</v>
      </c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8"/>
      <c r="AG61" s="38"/>
      <c r="AH61" s="38"/>
      <c r="AI61" s="38"/>
      <c r="AJ61" s="38"/>
      <c r="AK61" s="38"/>
    </row>
    <row r="62" spans="1:37" s="2" customFormat="1" ht="15.75" customHeight="1">
      <c r="A62" s="13" t="s">
        <v>147</v>
      </c>
      <c r="B62" s="25">
        <v>12</v>
      </c>
      <c r="C62" s="33">
        <v>1314</v>
      </c>
      <c r="D62" s="33">
        <v>1143</v>
      </c>
      <c r="E62" s="41" t="s">
        <v>148</v>
      </c>
      <c r="F62" s="41"/>
      <c r="G62" s="8"/>
      <c r="H62" s="16"/>
      <c r="I62" s="34">
        <v>152.4</v>
      </c>
      <c r="J62" s="23"/>
      <c r="K62" s="17">
        <v>1795</v>
      </c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8"/>
      <c r="AG62" s="38"/>
      <c r="AH62" s="38"/>
      <c r="AI62" s="38"/>
      <c r="AJ62" s="38"/>
      <c r="AK62" s="38"/>
    </row>
    <row r="63" spans="1:37" s="2" customFormat="1" ht="15.75" customHeight="1">
      <c r="A63" s="13" t="s">
        <v>149</v>
      </c>
      <c r="B63" s="25">
        <v>23</v>
      </c>
      <c r="C63" s="33">
        <v>2828</v>
      </c>
      <c r="D63" s="33">
        <v>2460</v>
      </c>
      <c r="E63" s="41" t="s">
        <v>150</v>
      </c>
      <c r="F63" s="41"/>
      <c r="G63" s="8"/>
      <c r="H63" s="16"/>
      <c r="I63" s="34">
        <v>404</v>
      </c>
      <c r="J63" s="34">
        <v>774</v>
      </c>
      <c r="K63" s="32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8"/>
      <c r="AG63" s="38"/>
      <c r="AH63" s="38"/>
      <c r="AI63" s="38"/>
      <c r="AJ63" s="38"/>
      <c r="AK63" s="38"/>
    </row>
    <row r="64" spans="1:37" s="2" customFormat="1" ht="15.75" customHeight="1">
      <c r="A64" s="13" t="s">
        <v>151</v>
      </c>
      <c r="B64" s="25" t="s">
        <v>125</v>
      </c>
      <c r="C64" s="33" t="e">
        <v>#N/A</v>
      </c>
      <c r="D64" s="33" t="e">
        <v>#N/A</v>
      </c>
      <c r="E64" s="41" t="e">
        <v>#N/A</v>
      </c>
      <c r="F64" s="41"/>
      <c r="G64" s="8"/>
      <c r="H64" s="16"/>
      <c r="I64" s="23"/>
      <c r="J64" s="23"/>
      <c r="K64" s="11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8"/>
      <c r="AG64" s="38"/>
      <c r="AH64" s="38"/>
      <c r="AI64" s="38"/>
      <c r="AJ64" s="38"/>
      <c r="AK64" s="38"/>
    </row>
    <row r="65" spans="1:37" s="2" customFormat="1" ht="15.75" customHeight="1">
      <c r="A65" s="13" t="s">
        <v>152</v>
      </c>
      <c r="B65" s="25">
        <v>38</v>
      </c>
      <c r="C65" s="33">
        <v>180</v>
      </c>
      <c r="D65" s="33">
        <v>156.6</v>
      </c>
      <c r="E65" s="41" t="s">
        <v>153</v>
      </c>
      <c r="F65" s="41"/>
      <c r="G65" s="42"/>
      <c r="H65" s="42"/>
      <c r="I65" s="23"/>
      <c r="J65" s="23"/>
      <c r="K65" s="11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8"/>
      <c r="AG65" s="38"/>
      <c r="AH65" s="38"/>
      <c r="AI65" s="38"/>
      <c r="AJ65" s="38"/>
      <c r="AK65" s="38"/>
    </row>
    <row r="66" spans="1:37" s="2" customFormat="1" ht="15.75" customHeight="1" thickBot="1">
      <c r="A66" s="35"/>
      <c r="B66" s="36"/>
      <c r="C66" s="36"/>
      <c r="D66" s="36"/>
      <c r="E66" s="36"/>
      <c r="F66" s="36"/>
      <c r="G66" s="36"/>
      <c r="H66" s="36"/>
      <c r="I66" s="36"/>
      <c r="J66" s="36"/>
      <c r="K66" s="37"/>
      <c r="L66" s="40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8"/>
      <c r="AG66" s="38"/>
      <c r="AH66" s="38"/>
      <c r="AI66" s="38"/>
      <c r="AJ66" s="38"/>
      <c r="AK66" s="38"/>
    </row>
    <row r="67" spans="1:37" s="2" customFormat="1" ht="15.75" customHeight="1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8"/>
      <c r="AG67" s="38"/>
      <c r="AH67" s="38"/>
      <c r="AI67" s="38"/>
      <c r="AJ67" s="38"/>
      <c r="AK67" s="38"/>
    </row>
    <row r="68" spans="1:37" s="2" customFormat="1" ht="15.75" customHeight="1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8"/>
      <c r="AG68" s="38"/>
      <c r="AH68" s="38"/>
      <c r="AI68" s="38"/>
      <c r="AJ68" s="38"/>
      <c r="AK68" s="38"/>
    </row>
    <row r="69" spans="1:37" s="2" customFormat="1" ht="15.75" customHeight="1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8"/>
      <c r="AG69" s="38"/>
      <c r="AH69" s="38"/>
      <c r="AI69" s="38"/>
      <c r="AJ69" s="38"/>
      <c r="AK69" s="38"/>
    </row>
    <row r="70" spans="1:37" s="2" customFormat="1" ht="15.75" customHeight="1">
      <c r="A70" s="39"/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8"/>
      <c r="AG70" s="38"/>
      <c r="AH70" s="38"/>
      <c r="AI70" s="38"/>
      <c r="AJ70" s="38"/>
      <c r="AK70" s="38"/>
    </row>
    <row r="71" spans="1:37" s="2" customFormat="1" ht="15.75" customHeight="1">
      <c r="A71" s="39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8"/>
      <c r="AG71" s="38"/>
      <c r="AH71" s="38"/>
      <c r="AI71" s="38"/>
      <c r="AJ71" s="38"/>
      <c r="AK71" s="38"/>
    </row>
    <row r="72" spans="1:37" s="2" customFormat="1" ht="15.75" customHeight="1">
      <c r="A72" s="39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8"/>
      <c r="AG72" s="38"/>
      <c r="AH72" s="38"/>
      <c r="AI72" s="38"/>
      <c r="AJ72" s="38"/>
      <c r="AK72" s="38"/>
    </row>
    <row r="73" spans="1:37" s="2" customFormat="1" ht="15.75" customHeight="1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8"/>
      <c r="AG73" s="38"/>
      <c r="AH73" s="38"/>
      <c r="AI73" s="38"/>
      <c r="AJ73" s="38"/>
      <c r="AK73" s="38"/>
    </row>
    <row r="74" spans="1:37" s="2" customFormat="1" ht="15.75" customHeight="1">
      <c r="A74" s="39"/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8"/>
      <c r="AG74" s="38"/>
      <c r="AH74" s="38"/>
      <c r="AI74" s="38"/>
      <c r="AJ74" s="38"/>
      <c r="AK74" s="38"/>
    </row>
    <row r="75" spans="1:37" s="2" customFormat="1">
      <c r="A75" s="39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8"/>
      <c r="AG75" s="38"/>
      <c r="AH75" s="38"/>
      <c r="AI75" s="38"/>
      <c r="AJ75" s="38"/>
      <c r="AK75" s="38"/>
    </row>
    <row r="76" spans="1:37" s="2" customFormat="1">
      <c r="A76" s="39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8"/>
      <c r="AG76" s="38"/>
      <c r="AH76" s="38"/>
      <c r="AI76" s="38"/>
      <c r="AJ76" s="38"/>
      <c r="AK76" s="38"/>
    </row>
    <row r="77" spans="1:37" s="2" customFormat="1">
      <c r="A77" s="39"/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8"/>
      <c r="AG77" s="38"/>
      <c r="AH77" s="38"/>
      <c r="AI77" s="38"/>
      <c r="AJ77" s="38"/>
      <c r="AK77" s="38"/>
    </row>
    <row r="78" spans="1:37" s="2" customFormat="1">
      <c r="A78" s="39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8"/>
      <c r="AG78" s="38"/>
      <c r="AH78" s="38"/>
      <c r="AI78" s="38"/>
      <c r="AJ78" s="38"/>
      <c r="AK78" s="38"/>
    </row>
    <row r="79" spans="1:37" s="2" customFormat="1">
      <c r="A79" s="39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8"/>
      <c r="AG79" s="38"/>
      <c r="AH79" s="38"/>
      <c r="AI79" s="38"/>
      <c r="AJ79" s="38"/>
      <c r="AK79" s="38"/>
    </row>
    <row r="80" spans="1:37" s="2" customFormat="1">
      <c r="A80" s="39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8"/>
      <c r="AG80" s="38"/>
      <c r="AH80" s="38"/>
      <c r="AI80" s="38"/>
      <c r="AJ80" s="38"/>
      <c r="AK80" s="38"/>
    </row>
    <row r="81" spans="1:37" s="2" customFormat="1">
      <c r="A81" s="39"/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8"/>
      <c r="AG81" s="38"/>
      <c r="AH81" s="38"/>
      <c r="AI81" s="38"/>
      <c r="AJ81" s="38"/>
      <c r="AK81" s="38"/>
    </row>
    <row r="82" spans="1:37" s="2" customFormat="1">
      <c r="A82" s="39"/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8"/>
      <c r="AG82" s="38"/>
      <c r="AH82" s="38"/>
      <c r="AI82" s="38"/>
      <c r="AJ82" s="38"/>
      <c r="AK82" s="38"/>
    </row>
    <row r="83" spans="1:37" s="2" customFormat="1">
      <c r="A83"/>
      <c r="B83"/>
      <c r="C83"/>
      <c r="D83"/>
      <c r="E83"/>
      <c r="F83"/>
      <c r="G83"/>
      <c r="H83"/>
      <c r="I83"/>
      <c r="J83"/>
      <c r="K83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8"/>
      <c r="AG83" s="38"/>
      <c r="AH83" s="38"/>
      <c r="AI83" s="38"/>
      <c r="AJ83" s="38"/>
      <c r="AK83" s="38"/>
    </row>
    <row r="84" spans="1:37" s="2" customFormat="1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8"/>
      <c r="AG84" s="38"/>
      <c r="AH84" s="38"/>
      <c r="AI84" s="38"/>
      <c r="AJ84" s="38"/>
      <c r="AK84" s="38"/>
    </row>
    <row r="85" spans="1:37" s="2" customFormat="1">
      <c r="A85" s="39"/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8"/>
      <c r="AG85" s="38"/>
      <c r="AH85" s="38"/>
      <c r="AI85" s="38"/>
      <c r="AJ85" s="38"/>
      <c r="AK85" s="38"/>
    </row>
    <row r="86" spans="1:37" s="2" customFormat="1">
      <c r="A86" s="39"/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8"/>
      <c r="AG86" s="38"/>
      <c r="AH86" s="38"/>
      <c r="AI86" s="38"/>
      <c r="AJ86" s="38"/>
      <c r="AK86" s="38"/>
    </row>
    <row r="87" spans="1:37" s="2" customFormat="1">
      <c r="A87" s="39"/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8"/>
      <c r="AG87" s="38"/>
      <c r="AH87" s="38"/>
      <c r="AI87" s="38"/>
      <c r="AJ87" s="38"/>
      <c r="AK87" s="38"/>
    </row>
    <row r="88" spans="1:37" s="2" customFormat="1">
      <c r="A88" s="39"/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8"/>
      <c r="AG88" s="38"/>
      <c r="AH88" s="38"/>
      <c r="AI88" s="38"/>
      <c r="AJ88" s="38"/>
      <c r="AK88" s="38"/>
    </row>
    <row r="89" spans="1:37" s="2" customFormat="1">
      <c r="A89" s="39"/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8"/>
      <c r="AG89" s="38"/>
      <c r="AH89" s="38"/>
      <c r="AI89" s="38"/>
      <c r="AJ89" s="38"/>
      <c r="AK89" s="38"/>
    </row>
    <row r="90" spans="1:37" s="2" customFormat="1">
      <c r="A90" s="39"/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8"/>
      <c r="AG90" s="38"/>
      <c r="AH90" s="38"/>
      <c r="AI90" s="38"/>
      <c r="AJ90" s="38"/>
      <c r="AK90" s="38"/>
    </row>
    <row r="91" spans="1:37" s="2" customFormat="1">
      <c r="A91" s="39"/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8"/>
      <c r="AG91" s="38"/>
      <c r="AH91" s="38"/>
      <c r="AI91" s="38"/>
      <c r="AJ91" s="38"/>
      <c r="AK91" s="38"/>
    </row>
    <row r="92" spans="1:37" s="2" customFormat="1">
      <c r="A92" s="39"/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8"/>
      <c r="AG92" s="38"/>
      <c r="AH92" s="38"/>
      <c r="AI92" s="38"/>
      <c r="AJ92" s="38"/>
      <c r="AK92" s="38"/>
    </row>
    <row r="93" spans="1:37" s="2" customFormat="1">
      <c r="A93" s="39"/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8"/>
      <c r="AG93" s="38"/>
      <c r="AH93" s="38"/>
      <c r="AI93" s="38"/>
      <c r="AJ93" s="38"/>
      <c r="AK93" s="38"/>
    </row>
    <row r="94" spans="1:37" s="2" customFormat="1">
      <c r="A94" s="39"/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8"/>
      <c r="AG94" s="38"/>
      <c r="AH94" s="38"/>
      <c r="AI94" s="38"/>
      <c r="AJ94" s="38"/>
      <c r="AK94" s="38"/>
    </row>
    <row r="95" spans="1:37" s="2" customFormat="1">
      <c r="A95" s="39"/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8"/>
      <c r="AG95" s="38"/>
      <c r="AH95" s="38"/>
      <c r="AI95" s="38"/>
      <c r="AJ95" s="38"/>
      <c r="AK95" s="38"/>
    </row>
    <row r="96" spans="1:37" s="2" customFormat="1">
      <c r="A96" s="39"/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8"/>
      <c r="AG96" s="38"/>
      <c r="AH96" s="38"/>
      <c r="AI96" s="38"/>
      <c r="AJ96" s="38"/>
      <c r="AK96" s="38"/>
    </row>
    <row r="97" spans="1:37" s="2" customFormat="1">
      <c r="A97" s="39"/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8"/>
      <c r="AG97" s="38"/>
      <c r="AH97" s="38"/>
      <c r="AI97" s="38"/>
      <c r="AJ97" s="38"/>
      <c r="AK97" s="38"/>
    </row>
    <row r="98" spans="1:37" s="2" customFormat="1">
      <c r="A98" s="39"/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8"/>
      <c r="AG98" s="38"/>
      <c r="AH98" s="38"/>
      <c r="AI98" s="38"/>
      <c r="AJ98" s="38"/>
      <c r="AK98" s="38"/>
    </row>
    <row r="99" spans="1:37" s="2" customFormat="1">
      <c r="A99" s="39"/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8"/>
      <c r="AG99" s="38"/>
      <c r="AH99" s="38"/>
      <c r="AI99" s="38"/>
      <c r="AJ99" s="38"/>
      <c r="AK99" s="38"/>
    </row>
    <row r="100" spans="1:37" s="2" customFormat="1">
      <c r="A100" s="39"/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8"/>
      <c r="AG100" s="38"/>
      <c r="AH100" s="38"/>
      <c r="AI100" s="38"/>
      <c r="AJ100" s="38"/>
      <c r="AK100" s="38"/>
    </row>
    <row r="101" spans="1:37" s="2" customFormat="1">
      <c r="A101" s="39"/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8"/>
      <c r="AG101" s="38"/>
      <c r="AH101" s="38"/>
      <c r="AI101" s="38"/>
      <c r="AJ101" s="38"/>
      <c r="AK101" s="38"/>
    </row>
    <row r="102" spans="1:37" s="2" customFormat="1">
      <c r="A102" s="39"/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8"/>
      <c r="AG102" s="38"/>
      <c r="AH102" s="38"/>
      <c r="AI102" s="38"/>
      <c r="AJ102" s="38"/>
      <c r="AK102" s="38"/>
    </row>
    <row r="103" spans="1:37" s="2" customFormat="1">
      <c r="A103" s="39"/>
      <c r="B103" s="39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8"/>
      <c r="AG103" s="38"/>
      <c r="AH103" s="38"/>
      <c r="AI103" s="38"/>
      <c r="AJ103" s="38"/>
      <c r="AK103" s="38"/>
    </row>
    <row r="104" spans="1:37" s="2" customFormat="1">
      <c r="A104" s="39"/>
      <c r="B104" s="39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8"/>
      <c r="AG104" s="38"/>
      <c r="AH104" s="38"/>
      <c r="AI104" s="38"/>
      <c r="AJ104" s="38"/>
      <c r="AK104" s="38"/>
    </row>
    <row r="105" spans="1:37" s="2" customFormat="1">
      <c r="A105" s="39"/>
      <c r="B105" s="39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8"/>
      <c r="AG105" s="38"/>
      <c r="AH105" s="38"/>
      <c r="AI105" s="38"/>
      <c r="AJ105" s="38"/>
      <c r="AK105" s="38"/>
    </row>
    <row r="106" spans="1:37" s="2" customFormat="1">
      <c r="A106" s="39"/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8"/>
      <c r="AG106" s="38"/>
      <c r="AH106" s="38"/>
      <c r="AI106" s="38"/>
      <c r="AJ106" s="38"/>
      <c r="AK106" s="38"/>
    </row>
    <row r="107" spans="1:37" s="2" customFormat="1">
      <c r="A107" s="39"/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8"/>
      <c r="AG107" s="38"/>
      <c r="AH107" s="38"/>
      <c r="AI107" s="38"/>
      <c r="AJ107" s="38"/>
      <c r="AK107" s="38"/>
    </row>
    <row r="108" spans="1:37" s="2" customFormat="1">
      <c r="A108" s="39"/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8"/>
      <c r="AG108" s="38"/>
      <c r="AH108" s="38"/>
      <c r="AI108" s="38"/>
      <c r="AJ108" s="38"/>
      <c r="AK108" s="38"/>
    </row>
    <row r="109" spans="1:37" s="2" customFormat="1">
      <c r="A109" s="39"/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8"/>
      <c r="AG109" s="38"/>
      <c r="AH109" s="38"/>
      <c r="AI109" s="38"/>
      <c r="AJ109" s="38"/>
      <c r="AK109" s="38"/>
    </row>
    <row r="110" spans="1:37" s="2" customFormat="1">
      <c r="A110" s="39"/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8"/>
      <c r="AG110" s="38"/>
      <c r="AH110" s="38"/>
      <c r="AI110" s="38"/>
      <c r="AJ110" s="38"/>
      <c r="AK110" s="38"/>
    </row>
    <row r="111" spans="1:37" s="2" customFormat="1">
      <c r="A111" s="39"/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8"/>
      <c r="AG111" s="38"/>
      <c r="AH111" s="38"/>
      <c r="AI111" s="38"/>
      <c r="AJ111" s="38"/>
      <c r="AK111" s="38"/>
    </row>
    <row r="112" spans="1:37" s="2" customFormat="1">
      <c r="A112" s="39"/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8"/>
      <c r="AG112" s="38"/>
      <c r="AH112" s="38"/>
      <c r="AI112" s="38"/>
      <c r="AJ112" s="38"/>
      <c r="AK112" s="38"/>
    </row>
    <row r="113" spans="1:37" s="2" customFormat="1">
      <c r="A113" s="39"/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8"/>
      <c r="AG113" s="38"/>
      <c r="AH113" s="38"/>
      <c r="AI113" s="38"/>
      <c r="AJ113" s="38"/>
      <c r="AK113" s="38"/>
    </row>
    <row r="114" spans="1:37" s="2" customFormat="1">
      <c r="A114" s="39"/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8"/>
      <c r="AG114" s="38"/>
      <c r="AH114" s="38"/>
      <c r="AI114" s="38"/>
      <c r="AJ114" s="38"/>
      <c r="AK114" s="38"/>
    </row>
    <row r="115" spans="1:37" s="2" customFormat="1">
      <c r="A115" s="39"/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8"/>
      <c r="AG115" s="38"/>
      <c r="AH115" s="38"/>
      <c r="AI115" s="38"/>
      <c r="AJ115" s="38"/>
      <c r="AK115" s="38"/>
    </row>
    <row r="116" spans="1:37" s="2" customFormat="1">
      <c r="A116" s="39"/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8"/>
      <c r="AG116" s="38"/>
      <c r="AH116" s="38"/>
      <c r="AI116" s="38"/>
      <c r="AJ116" s="38"/>
      <c r="AK116" s="38"/>
    </row>
    <row r="117" spans="1:37" s="2" customFormat="1">
      <c r="A117" s="39"/>
      <c r="B117" s="39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8"/>
      <c r="AG117" s="38"/>
      <c r="AH117" s="38"/>
      <c r="AI117" s="38"/>
      <c r="AJ117" s="38"/>
      <c r="AK117" s="38"/>
    </row>
    <row r="118" spans="1:37" s="2" customFormat="1">
      <c r="A118" s="39"/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8"/>
      <c r="AG118" s="38"/>
      <c r="AH118" s="38"/>
      <c r="AI118" s="38"/>
      <c r="AJ118" s="38"/>
      <c r="AK118" s="38"/>
    </row>
    <row r="119" spans="1:37" s="2" customFormat="1">
      <c r="A119" s="39"/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8"/>
      <c r="AG119" s="38"/>
      <c r="AH119" s="38"/>
      <c r="AI119" s="38"/>
      <c r="AJ119" s="38"/>
      <c r="AK119" s="38"/>
    </row>
    <row r="120" spans="1:37" s="2" customFormat="1">
      <c r="A120" s="39"/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8"/>
      <c r="AG120" s="38"/>
      <c r="AH120" s="38"/>
      <c r="AI120" s="38"/>
      <c r="AJ120" s="38"/>
      <c r="AK120" s="38"/>
    </row>
    <row r="121" spans="1:37" s="2" customFormat="1">
      <c r="A121" s="39"/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8"/>
      <c r="AG121" s="38"/>
      <c r="AH121" s="38"/>
      <c r="AI121" s="38"/>
      <c r="AJ121" s="38"/>
      <c r="AK121" s="38"/>
    </row>
    <row r="122" spans="1:37" s="2" customFormat="1">
      <c r="A122" s="39"/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8"/>
      <c r="AG122" s="38"/>
      <c r="AH122" s="38"/>
      <c r="AI122" s="38"/>
      <c r="AJ122" s="38"/>
      <c r="AK122" s="38"/>
    </row>
    <row r="123" spans="1:37" s="2" customFormat="1">
      <c r="A123" s="39"/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8"/>
      <c r="AG123" s="38"/>
      <c r="AH123" s="38"/>
      <c r="AI123" s="38"/>
      <c r="AJ123" s="38"/>
      <c r="AK123" s="38"/>
    </row>
    <row r="124" spans="1:37" s="2" customFormat="1">
      <c r="A124" s="39"/>
      <c r="B124" s="39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8"/>
      <c r="AG124" s="38"/>
      <c r="AH124" s="38"/>
      <c r="AI124" s="38"/>
      <c r="AJ124" s="38"/>
      <c r="AK124" s="38"/>
    </row>
    <row r="125" spans="1:37" s="2" customFormat="1">
      <c r="A125" s="39"/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8"/>
      <c r="AG125" s="38"/>
      <c r="AH125" s="38"/>
      <c r="AI125" s="38"/>
      <c r="AJ125" s="38"/>
      <c r="AK125" s="38"/>
    </row>
    <row r="126" spans="1:37" s="2" customFormat="1">
      <c r="A126" s="39"/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8"/>
      <c r="AG126" s="38"/>
      <c r="AH126" s="38"/>
      <c r="AI126" s="38"/>
      <c r="AJ126" s="38"/>
      <c r="AK126" s="38"/>
    </row>
    <row r="127" spans="1:37" s="2" customFormat="1">
      <c r="A127" s="39"/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8"/>
      <c r="AG127" s="38"/>
      <c r="AH127" s="38"/>
      <c r="AI127" s="38"/>
      <c r="AJ127" s="38"/>
      <c r="AK127" s="38"/>
    </row>
    <row r="128" spans="1:37" s="2" customFormat="1">
      <c r="A128" s="39"/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8"/>
      <c r="AG128" s="38"/>
      <c r="AH128" s="38"/>
      <c r="AI128" s="38"/>
      <c r="AJ128" s="38"/>
      <c r="AK128" s="38"/>
    </row>
    <row r="129" spans="1:37" s="2" customFormat="1">
      <c r="A129" s="39"/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8"/>
      <c r="AG129" s="38"/>
      <c r="AH129" s="38"/>
      <c r="AI129" s="38"/>
      <c r="AJ129" s="38"/>
      <c r="AK129" s="38"/>
    </row>
    <row r="130" spans="1:37" s="2" customFormat="1">
      <c r="A130" s="39"/>
      <c r="B130" s="39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8"/>
      <c r="AG130" s="38"/>
      <c r="AH130" s="38"/>
      <c r="AI130" s="38"/>
      <c r="AJ130" s="38"/>
      <c r="AK130" s="38"/>
    </row>
    <row r="131" spans="1:37" s="2" customFormat="1">
      <c r="A131" s="39"/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8"/>
      <c r="AG131" s="38"/>
      <c r="AH131" s="38"/>
      <c r="AI131" s="38"/>
      <c r="AJ131" s="38"/>
      <c r="AK131" s="38"/>
    </row>
    <row r="132" spans="1:37" s="2" customFormat="1">
      <c r="A132" s="39"/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8"/>
      <c r="AG132" s="38"/>
      <c r="AH132" s="38"/>
      <c r="AI132" s="38"/>
      <c r="AJ132" s="38"/>
      <c r="AK132" s="38"/>
    </row>
    <row r="133" spans="1:37" s="2" customFormat="1">
      <c r="A133" s="39"/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8"/>
      <c r="AG133" s="38"/>
      <c r="AH133" s="38"/>
      <c r="AI133" s="38"/>
      <c r="AJ133" s="38"/>
      <c r="AK133" s="38"/>
    </row>
    <row r="134" spans="1:37" s="2" customFormat="1">
      <c r="A134" s="39"/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8"/>
      <c r="AG134" s="38"/>
      <c r="AH134" s="38"/>
      <c r="AI134" s="38"/>
      <c r="AJ134" s="38"/>
      <c r="AK134" s="38"/>
    </row>
    <row r="135" spans="1:37" s="2" customFormat="1">
      <c r="A135" s="39"/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8"/>
      <c r="AG135" s="38"/>
      <c r="AH135" s="38"/>
      <c r="AI135" s="38"/>
      <c r="AJ135" s="38"/>
      <c r="AK135" s="38"/>
    </row>
    <row r="136" spans="1:37" s="2" customFormat="1">
      <c r="A136" s="39"/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8"/>
      <c r="AG136" s="38"/>
      <c r="AH136" s="38"/>
      <c r="AI136" s="38"/>
      <c r="AJ136" s="38"/>
      <c r="AK136" s="38"/>
    </row>
    <row r="137" spans="1:37" s="2" customFormat="1">
      <c r="A137" s="39"/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8"/>
      <c r="AG137" s="38"/>
      <c r="AH137" s="38"/>
      <c r="AI137" s="38"/>
      <c r="AJ137" s="38"/>
      <c r="AK137" s="38"/>
    </row>
    <row r="138" spans="1:37" s="2" customFormat="1">
      <c r="A138" s="39"/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8"/>
      <c r="AG138" s="38"/>
      <c r="AH138" s="38"/>
      <c r="AI138" s="38"/>
      <c r="AJ138" s="38"/>
      <c r="AK138" s="38"/>
    </row>
    <row r="139" spans="1:37" s="2" customFormat="1">
      <c r="A139" s="39"/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8"/>
      <c r="AG139" s="38"/>
      <c r="AH139" s="38"/>
      <c r="AI139" s="38"/>
      <c r="AJ139" s="38"/>
      <c r="AK139" s="38"/>
    </row>
    <row r="140" spans="1:37" s="2" customFormat="1">
      <c r="A140" s="39"/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8"/>
      <c r="AG140" s="38"/>
      <c r="AH140" s="38"/>
      <c r="AI140" s="38"/>
      <c r="AJ140" s="38"/>
      <c r="AK140" s="38"/>
    </row>
    <row r="141" spans="1:37" s="2" customFormat="1">
      <c r="A141" s="39"/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8"/>
      <c r="AG141" s="38"/>
      <c r="AH141" s="38"/>
      <c r="AI141" s="38"/>
      <c r="AJ141" s="38"/>
      <c r="AK141" s="38"/>
    </row>
    <row r="142" spans="1:37" s="2" customFormat="1">
      <c r="A142" s="39"/>
      <c r="B142" s="39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8"/>
      <c r="AG142" s="38"/>
      <c r="AH142" s="38"/>
      <c r="AI142" s="38"/>
      <c r="AJ142" s="38"/>
      <c r="AK142" s="38"/>
    </row>
    <row r="143" spans="1:37" s="2" customFormat="1">
      <c r="A143" s="39"/>
      <c r="B143" s="39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8"/>
      <c r="AG143" s="38"/>
      <c r="AH143" s="38"/>
      <c r="AI143" s="38"/>
      <c r="AJ143" s="38"/>
      <c r="AK143" s="38"/>
    </row>
    <row r="144" spans="1:37" s="2" customFormat="1">
      <c r="A144" s="39"/>
      <c r="B144" s="39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8"/>
      <c r="AG144" s="38"/>
      <c r="AH144" s="38"/>
      <c r="AI144" s="38"/>
      <c r="AJ144" s="38"/>
      <c r="AK144" s="38"/>
    </row>
    <row r="145" spans="1:37" s="2" customFormat="1">
      <c r="A145" s="39"/>
      <c r="B145" s="39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8"/>
      <c r="AG145" s="38"/>
      <c r="AH145" s="38"/>
      <c r="AI145" s="38"/>
      <c r="AJ145" s="38"/>
      <c r="AK145" s="38"/>
    </row>
    <row r="146" spans="1:37" s="2" customFormat="1">
      <c r="A146" s="39"/>
      <c r="B146" s="39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8"/>
      <c r="AG146" s="38"/>
      <c r="AH146" s="38"/>
      <c r="AI146" s="38"/>
      <c r="AJ146" s="38"/>
      <c r="AK146" s="38"/>
    </row>
    <row r="147" spans="1:37" s="2" customFormat="1">
      <c r="A147" s="39"/>
      <c r="B147" s="39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8"/>
      <c r="AG147" s="38"/>
      <c r="AH147" s="38"/>
      <c r="AI147" s="38"/>
      <c r="AJ147" s="38"/>
      <c r="AK147" s="38"/>
    </row>
    <row r="148" spans="1:37" s="2" customFormat="1">
      <c r="A148" s="39"/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8"/>
      <c r="AG148" s="38"/>
      <c r="AH148" s="38"/>
      <c r="AI148" s="38"/>
      <c r="AJ148" s="38"/>
      <c r="AK148" s="38"/>
    </row>
    <row r="149" spans="1:37" s="2" customFormat="1">
      <c r="A149" s="39"/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8"/>
      <c r="AG149" s="38"/>
      <c r="AH149" s="38"/>
      <c r="AI149" s="38"/>
      <c r="AJ149" s="38"/>
      <c r="AK149" s="38"/>
    </row>
    <row r="150" spans="1:37" s="2" customFormat="1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8"/>
      <c r="AG150" s="38"/>
      <c r="AH150" s="38"/>
      <c r="AI150" s="38"/>
      <c r="AJ150" s="38"/>
      <c r="AK150" s="38"/>
    </row>
    <row r="151" spans="1:37" s="2" customFormat="1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8"/>
      <c r="AG151" s="38"/>
      <c r="AH151" s="38"/>
      <c r="AI151" s="38"/>
      <c r="AJ151" s="38"/>
      <c r="AK151" s="38"/>
    </row>
    <row r="152" spans="1:37" s="2" customFormat="1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8"/>
      <c r="AG152" s="38"/>
      <c r="AH152" s="38"/>
      <c r="AI152" s="38"/>
      <c r="AJ152" s="38"/>
      <c r="AK152" s="38"/>
    </row>
    <row r="153" spans="1:37" s="2" customFormat="1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8"/>
      <c r="AG153" s="38"/>
      <c r="AH153" s="38"/>
      <c r="AI153" s="38"/>
      <c r="AJ153" s="38"/>
      <c r="AK153" s="38"/>
    </row>
    <row r="154" spans="1:37" s="2" customFormat="1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8"/>
      <c r="AG154" s="38"/>
      <c r="AH154" s="38"/>
      <c r="AI154" s="38"/>
      <c r="AJ154" s="38"/>
      <c r="AK154" s="38"/>
    </row>
    <row r="155" spans="1:37" s="2" customFormat="1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8"/>
      <c r="AG155" s="38"/>
      <c r="AH155" s="38"/>
      <c r="AI155" s="38"/>
      <c r="AJ155" s="38"/>
      <c r="AK155" s="38"/>
    </row>
    <row r="156" spans="1:37" s="2" customFormat="1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8"/>
      <c r="AG156" s="38"/>
      <c r="AH156" s="38"/>
      <c r="AI156" s="38"/>
      <c r="AJ156" s="38"/>
      <c r="AK156" s="38"/>
    </row>
    <row r="157" spans="1:37" s="2" customFormat="1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8"/>
      <c r="AG157" s="38"/>
      <c r="AH157" s="38"/>
      <c r="AI157" s="38"/>
      <c r="AJ157" s="38"/>
      <c r="AK157" s="38"/>
    </row>
    <row r="158" spans="1:37" s="2" customFormat="1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8"/>
      <c r="AG158" s="38"/>
      <c r="AH158" s="38"/>
      <c r="AI158" s="38"/>
      <c r="AJ158" s="38"/>
      <c r="AK158" s="38"/>
    </row>
    <row r="159" spans="1:37" s="2" customFormat="1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8"/>
      <c r="AG159" s="38"/>
      <c r="AH159" s="38"/>
      <c r="AI159" s="38"/>
      <c r="AJ159" s="38"/>
      <c r="AK159" s="38"/>
    </row>
    <row r="160" spans="1:37" s="2" customFormat="1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8"/>
      <c r="AG160" s="38"/>
      <c r="AH160" s="38"/>
      <c r="AI160" s="38"/>
      <c r="AJ160" s="38"/>
      <c r="AK160" s="38"/>
    </row>
    <row r="161" spans="1:37" s="2" customFormat="1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8"/>
      <c r="AG161" s="38"/>
      <c r="AH161" s="38"/>
      <c r="AI161" s="38"/>
      <c r="AJ161" s="38"/>
      <c r="AK161" s="38"/>
    </row>
    <row r="162" spans="1:37" s="2" customFormat="1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8"/>
      <c r="AG162" s="38"/>
      <c r="AH162" s="38"/>
      <c r="AI162" s="38"/>
      <c r="AJ162" s="38"/>
      <c r="AK162" s="38"/>
    </row>
    <row r="163" spans="1:37" s="2" customFormat="1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8"/>
      <c r="AG163" s="38"/>
      <c r="AH163" s="38"/>
      <c r="AI163" s="38"/>
      <c r="AJ163" s="38"/>
      <c r="AK163" s="38"/>
    </row>
    <row r="164" spans="1:37" s="2" customFormat="1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8"/>
      <c r="AG164" s="38"/>
      <c r="AH164" s="38"/>
      <c r="AI164" s="38"/>
      <c r="AJ164" s="38"/>
      <c r="AK164" s="38"/>
    </row>
    <row r="165" spans="1:37" s="2" customFormat="1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8"/>
      <c r="AG165" s="38"/>
      <c r="AH165" s="38"/>
      <c r="AI165" s="38"/>
      <c r="AJ165" s="38"/>
      <c r="AK165" s="38"/>
    </row>
    <row r="166" spans="1:37" s="2" customFormat="1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8"/>
      <c r="AG166" s="38"/>
      <c r="AH166" s="38"/>
      <c r="AI166" s="38"/>
      <c r="AJ166" s="38"/>
      <c r="AK166" s="38"/>
    </row>
    <row r="167" spans="1:37" s="2" customFormat="1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8"/>
      <c r="AG167" s="38"/>
      <c r="AH167" s="38"/>
      <c r="AI167" s="38"/>
      <c r="AJ167" s="38"/>
      <c r="AK167" s="38"/>
    </row>
    <row r="168" spans="1:37" s="2" customFormat="1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8"/>
      <c r="AG168" s="38"/>
      <c r="AH168" s="38"/>
      <c r="AI168" s="38"/>
      <c r="AJ168" s="38"/>
      <c r="AK168" s="38"/>
    </row>
    <row r="169" spans="1:37" s="2" customFormat="1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8"/>
      <c r="AG169" s="38"/>
      <c r="AH169" s="38"/>
      <c r="AI169" s="38"/>
      <c r="AJ169" s="38"/>
      <c r="AK169" s="38"/>
    </row>
    <row r="170" spans="1:37" s="2" customFormat="1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8"/>
      <c r="AG170" s="38"/>
      <c r="AH170" s="38"/>
      <c r="AI170" s="38"/>
      <c r="AJ170" s="38"/>
      <c r="AK170" s="38"/>
    </row>
    <row r="171" spans="1:37" s="2" customFormat="1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8"/>
      <c r="AG171" s="38"/>
      <c r="AH171" s="38"/>
      <c r="AI171" s="38"/>
      <c r="AJ171" s="38"/>
      <c r="AK171" s="38"/>
    </row>
    <row r="172" spans="1:37" s="2" customFormat="1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8"/>
      <c r="AG172" s="38"/>
      <c r="AH172" s="38"/>
      <c r="AI172" s="38"/>
      <c r="AJ172" s="38"/>
      <c r="AK172" s="38"/>
    </row>
    <row r="173" spans="1:37" s="2" customFormat="1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8"/>
      <c r="AG173" s="38"/>
      <c r="AH173" s="38"/>
      <c r="AI173" s="38"/>
      <c r="AJ173" s="38"/>
      <c r="AK173" s="38"/>
    </row>
    <row r="174" spans="1:37" s="2" customFormat="1">
      <c r="A174" s="39"/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8"/>
      <c r="AG174" s="38"/>
      <c r="AH174" s="38"/>
      <c r="AI174" s="38"/>
      <c r="AJ174" s="38"/>
      <c r="AK174" s="38"/>
    </row>
    <row r="175" spans="1:37" s="2" customFormat="1">
      <c r="A175" s="39"/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8"/>
      <c r="AG175" s="38"/>
      <c r="AH175" s="38"/>
      <c r="AI175" s="38"/>
      <c r="AJ175" s="38"/>
      <c r="AK175" s="38"/>
    </row>
    <row r="176" spans="1:37" s="2" customFormat="1">
      <c r="A176" s="39"/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8"/>
      <c r="AG176" s="38"/>
      <c r="AH176" s="38"/>
      <c r="AI176" s="38"/>
      <c r="AJ176" s="38"/>
      <c r="AK176" s="38"/>
    </row>
    <row r="177" spans="1:37" s="2" customFormat="1">
      <c r="A177" s="39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8"/>
      <c r="AG177" s="38"/>
      <c r="AH177" s="38"/>
      <c r="AI177" s="38"/>
      <c r="AJ177" s="38"/>
      <c r="AK177" s="38"/>
    </row>
    <row r="178" spans="1:37" s="2" customFormat="1">
      <c r="A178" s="39"/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8"/>
      <c r="AG178" s="38"/>
      <c r="AH178" s="38"/>
      <c r="AI178" s="38"/>
      <c r="AJ178" s="38"/>
      <c r="AK178" s="38"/>
    </row>
    <row r="179" spans="1:37" s="2" customFormat="1">
      <c r="A179" s="39"/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8"/>
      <c r="AG179" s="38"/>
      <c r="AH179" s="38"/>
      <c r="AI179" s="38"/>
      <c r="AJ179" s="38"/>
      <c r="AK179" s="38"/>
    </row>
    <row r="180" spans="1:37" s="2" customFormat="1">
      <c r="A180" s="39"/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8"/>
      <c r="AG180" s="38"/>
      <c r="AH180" s="38"/>
      <c r="AI180" s="38"/>
      <c r="AJ180" s="38"/>
      <c r="AK180" s="38"/>
    </row>
    <row r="181" spans="1:37" s="2" customFormat="1">
      <c r="A181" s="39"/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8"/>
      <c r="AG181" s="38"/>
      <c r="AH181" s="38"/>
      <c r="AI181" s="38"/>
      <c r="AJ181" s="38"/>
      <c r="AK181" s="38"/>
    </row>
    <row r="182" spans="1:37" s="2" customFormat="1">
      <c r="A182" s="39"/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8"/>
      <c r="AG182" s="38"/>
      <c r="AH182" s="38"/>
      <c r="AI182" s="38"/>
      <c r="AJ182" s="38"/>
      <c r="AK182" s="38"/>
    </row>
    <row r="183" spans="1:37" s="2" customFormat="1">
      <c r="A183" s="39"/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8"/>
      <c r="AG183" s="38"/>
      <c r="AH183" s="38"/>
      <c r="AI183" s="38"/>
      <c r="AJ183" s="38"/>
      <c r="AK183" s="38"/>
    </row>
    <row r="184" spans="1:37" s="2" customFormat="1">
      <c r="A184" s="39"/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8"/>
      <c r="AG184" s="38"/>
      <c r="AH184" s="38"/>
      <c r="AI184" s="38"/>
      <c r="AJ184" s="38"/>
      <c r="AK184" s="38"/>
    </row>
    <row r="185" spans="1:37" s="2" customFormat="1">
      <c r="A185" s="39"/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8"/>
      <c r="AG185" s="38"/>
      <c r="AH185" s="38"/>
      <c r="AI185" s="38"/>
      <c r="AJ185" s="38"/>
      <c r="AK185" s="38"/>
    </row>
    <row r="186" spans="1:37" s="2" customFormat="1">
      <c r="A186" s="39"/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8"/>
      <c r="AG186" s="38"/>
      <c r="AH186" s="38"/>
      <c r="AI186" s="38"/>
      <c r="AJ186" s="38"/>
      <c r="AK186" s="38"/>
    </row>
    <row r="187" spans="1:37" s="2" customFormat="1">
      <c r="A187" s="39"/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8"/>
      <c r="AG187" s="38"/>
      <c r="AH187" s="38"/>
      <c r="AI187" s="38"/>
      <c r="AJ187" s="38"/>
      <c r="AK187" s="38"/>
    </row>
    <row r="188" spans="1:37" s="2" customFormat="1">
      <c r="A188" s="39"/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8"/>
      <c r="AG188" s="38"/>
      <c r="AH188" s="38"/>
      <c r="AI188" s="38"/>
      <c r="AJ188" s="38"/>
      <c r="AK188" s="38"/>
    </row>
    <row r="189" spans="1:37" s="2" customFormat="1">
      <c r="A189" s="39"/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8"/>
      <c r="AG189" s="38"/>
      <c r="AH189" s="38"/>
      <c r="AI189" s="38"/>
      <c r="AJ189" s="38"/>
      <c r="AK189" s="38"/>
    </row>
    <row r="190" spans="1:37" s="2" customFormat="1">
      <c r="A190" s="39"/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8"/>
      <c r="AG190" s="38"/>
      <c r="AH190" s="38"/>
      <c r="AI190" s="38"/>
      <c r="AJ190" s="38"/>
      <c r="AK190" s="38"/>
    </row>
    <row r="191" spans="1:37" s="2" customFormat="1">
      <c r="A191" s="39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8"/>
      <c r="AG191" s="38"/>
      <c r="AH191" s="38"/>
      <c r="AI191" s="38"/>
      <c r="AJ191" s="38"/>
      <c r="AK191" s="38"/>
    </row>
    <row r="192" spans="1:37" s="2" customFormat="1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8"/>
      <c r="AG192" s="38"/>
      <c r="AH192" s="38"/>
      <c r="AI192" s="38"/>
      <c r="AJ192" s="38"/>
      <c r="AK192" s="38"/>
    </row>
    <row r="193" spans="1:37" s="2" customFormat="1">
      <c r="A193" s="39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8"/>
      <c r="AG193" s="38"/>
      <c r="AH193" s="38"/>
      <c r="AI193" s="38"/>
      <c r="AJ193" s="38"/>
      <c r="AK193" s="38"/>
    </row>
    <row r="194" spans="1:37" s="2" customFormat="1">
      <c r="A194" s="39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8"/>
      <c r="AG194" s="38"/>
      <c r="AH194" s="38"/>
      <c r="AI194" s="38"/>
      <c r="AJ194" s="38"/>
      <c r="AK194" s="38"/>
    </row>
    <row r="195" spans="1:37" s="2" customFormat="1">
      <c r="A195" s="39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8"/>
      <c r="AG195" s="38"/>
      <c r="AH195" s="38"/>
      <c r="AI195" s="38"/>
      <c r="AJ195" s="38"/>
      <c r="AK195" s="38"/>
    </row>
    <row r="196" spans="1:37" s="2" customFormat="1">
      <c r="A196" s="39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8"/>
      <c r="AG196" s="38"/>
      <c r="AH196" s="38"/>
      <c r="AI196" s="38"/>
      <c r="AJ196" s="38"/>
      <c r="AK196" s="38"/>
    </row>
    <row r="197" spans="1:37" s="2" customFormat="1">
      <c r="A197" s="39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8"/>
      <c r="AG197" s="38"/>
      <c r="AH197" s="38"/>
      <c r="AI197" s="38"/>
      <c r="AJ197" s="38"/>
      <c r="AK197" s="38"/>
    </row>
    <row r="198" spans="1:37" s="2" customFormat="1">
      <c r="A198" s="39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8"/>
      <c r="AG198" s="38"/>
      <c r="AH198" s="38"/>
      <c r="AI198" s="38"/>
      <c r="AJ198" s="38"/>
      <c r="AK198" s="38"/>
    </row>
    <row r="199" spans="1:37" s="2" customFormat="1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8"/>
      <c r="AG199" s="38"/>
      <c r="AH199" s="38"/>
      <c r="AI199" s="38"/>
      <c r="AJ199" s="38"/>
      <c r="AK199" s="38"/>
    </row>
    <row r="200" spans="1:37" s="2" customFormat="1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8"/>
      <c r="AG200" s="38"/>
      <c r="AH200" s="38"/>
      <c r="AI200" s="38"/>
      <c r="AJ200" s="38"/>
      <c r="AK200" s="38"/>
    </row>
    <row r="201" spans="1:37" s="2" customFormat="1">
      <c r="A201" s="39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8"/>
      <c r="AG201" s="38"/>
      <c r="AH201" s="38"/>
      <c r="AI201" s="38"/>
      <c r="AJ201" s="38"/>
      <c r="AK201" s="38"/>
    </row>
    <row r="202" spans="1:37" s="2" customFormat="1">
      <c r="A202" s="39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8"/>
      <c r="AG202" s="38"/>
      <c r="AH202" s="38"/>
      <c r="AI202" s="38"/>
      <c r="AJ202" s="38"/>
      <c r="AK202" s="38"/>
    </row>
    <row r="203" spans="1:37" s="2" customFormat="1">
      <c r="A203" s="39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8"/>
      <c r="AG203" s="38"/>
      <c r="AH203" s="38"/>
      <c r="AI203" s="38"/>
      <c r="AJ203" s="38"/>
      <c r="AK203" s="38"/>
    </row>
    <row r="204" spans="1:37" s="2" customFormat="1">
      <c r="A204" s="39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8"/>
      <c r="AG204" s="38"/>
      <c r="AH204" s="38"/>
      <c r="AI204" s="38"/>
      <c r="AJ204" s="38"/>
      <c r="AK204" s="38"/>
    </row>
    <row r="205" spans="1:37" s="2" customFormat="1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8"/>
      <c r="AG205" s="38"/>
      <c r="AH205" s="38"/>
      <c r="AI205" s="38"/>
      <c r="AJ205" s="38"/>
      <c r="AK205" s="38"/>
    </row>
    <row r="206" spans="1:37" s="2" customFormat="1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8"/>
      <c r="AG206" s="38"/>
      <c r="AH206" s="38"/>
      <c r="AI206" s="38"/>
      <c r="AJ206" s="38"/>
      <c r="AK206" s="38"/>
    </row>
    <row r="207" spans="1:37" s="2" customFormat="1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8"/>
      <c r="AG207" s="38"/>
      <c r="AH207" s="38"/>
      <c r="AI207" s="38"/>
      <c r="AJ207" s="38"/>
      <c r="AK207" s="38"/>
    </row>
    <row r="208" spans="1:37" s="2" customFormat="1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8"/>
      <c r="AG208" s="38"/>
      <c r="AH208" s="38"/>
      <c r="AI208" s="38"/>
      <c r="AJ208" s="38"/>
      <c r="AK208" s="38"/>
    </row>
    <row r="209" spans="1:37" s="2" customFormat="1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8"/>
      <c r="AG209" s="38"/>
      <c r="AH209" s="38"/>
      <c r="AI209" s="38"/>
      <c r="AJ209" s="38"/>
      <c r="AK209" s="38"/>
    </row>
    <row r="210" spans="1:37" s="2" customFormat="1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8"/>
      <c r="AG210" s="38"/>
      <c r="AH210" s="38"/>
      <c r="AI210" s="38"/>
      <c r="AJ210" s="38"/>
      <c r="AK210" s="38"/>
    </row>
    <row r="211" spans="1:37" s="2" customFormat="1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8"/>
      <c r="AG211" s="38"/>
      <c r="AH211" s="38"/>
      <c r="AI211" s="38"/>
      <c r="AJ211" s="38"/>
      <c r="AK211" s="38"/>
    </row>
    <row r="212" spans="1:37" s="2" customFormat="1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8"/>
      <c r="AG212" s="38"/>
      <c r="AH212" s="38"/>
      <c r="AI212" s="38"/>
      <c r="AJ212" s="38"/>
      <c r="AK212" s="38"/>
    </row>
    <row r="213" spans="1:37" s="2" customFormat="1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8"/>
      <c r="AG213" s="38"/>
      <c r="AH213" s="38"/>
      <c r="AI213" s="38"/>
      <c r="AJ213" s="38"/>
      <c r="AK213" s="38"/>
    </row>
    <row r="214" spans="1:37" s="2" customFormat="1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8"/>
      <c r="AG214" s="38"/>
      <c r="AH214" s="38"/>
      <c r="AI214" s="38"/>
      <c r="AJ214" s="38"/>
      <c r="AK214" s="38"/>
    </row>
    <row r="215" spans="1:37" s="2" customFormat="1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8"/>
      <c r="AG215" s="38"/>
      <c r="AH215" s="38"/>
      <c r="AI215" s="38"/>
      <c r="AJ215" s="38"/>
      <c r="AK215" s="38"/>
    </row>
    <row r="216" spans="1:37" s="2" customFormat="1">
      <c r="A216" s="39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8"/>
      <c r="AG216" s="38"/>
      <c r="AH216" s="38"/>
      <c r="AI216" s="38"/>
      <c r="AJ216" s="38"/>
      <c r="AK216" s="38"/>
    </row>
    <row r="217" spans="1:37" s="2" customFormat="1">
      <c r="A217" s="39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8"/>
      <c r="AG217" s="38"/>
      <c r="AH217" s="38"/>
      <c r="AI217" s="38"/>
      <c r="AJ217" s="38"/>
      <c r="AK217" s="38"/>
    </row>
    <row r="218" spans="1:37" s="2" customFormat="1">
      <c r="A218" s="39"/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8"/>
      <c r="AG218" s="38"/>
      <c r="AH218" s="38"/>
      <c r="AI218" s="38"/>
      <c r="AJ218" s="38"/>
      <c r="AK218" s="38"/>
    </row>
    <row r="219" spans="1:37" s="2" customFormat="1">
      <c r="A219" s="39"/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8"/>
      <c r="AG219" s="38"/>
      <c r="AH219" s="38"/>
      <c r="AI219" s="38"/>
      <c r="AJ219" s="38"/>
      <c r="AK219" s="38"/>
    </row>
    <row r="220" spans="1:37" s="2" customFormat="1">
      <c r="A220" s="39"/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8"/>
      <c r="AG220" s="38"/>
      <c r="AH220" s="38"/>
      <c r="AI220" s="38"/>
      <c r="AJ220" s="38"/>
      <c r="AK220" s="38"/>
    </row>
    <row r="221" spans="1:37" s="2" customFormat="1">
      <c r="A221" s="39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8"/>
      <c r="AG221" s="38"/>
      <c r="AH221" s="38"/>
      <c r="AI221" s="38"/>
      <c r="AJ221" s="38"/>
      <c r="AK221" s="38"/>
    </row>
    <row r="222" spans="1:37" s="2" customFormat="1">
      <c r="A222" s="39"/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8"/>
      <c r="AG222" s="38"/>
      <c r="AH222" s="38"/>
      <c r="AI222" s="38"/>
      <c r="AJ222" s="38"/>
      <c r="AK222" s="38"/>
    </row>
    <row r="223" spans="1:37" s="2" customFormat="1">
      <c r="A223" s="39"/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8"/>
      <c r="AG223" s="38"/>
      <c r="AH223" s="38"/>
      <c r="AI223" s="38"/>
      <c r="AJ223" s="38"/>
      <c r="AK223" s="38"/>
    </row>
    <row r="224" spans="1:37" s="2" customFormat="1">
      <c r="A224" s="39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8"/>
      <c r="AG224" s="38"/>
      <c r="AH224" s="38"/>
      <c r="AI224" s="38"/>
      <c r="AJ224" s="38"/>
      <c r="AK224" s="38"/>
    </row>
    <row r="225" spans="1:37" s="2" customFormat="1">
      <c r="A225" s="39"/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8"/>
      <c r="AG225" s="38"/>
      <c r="AH225" s="38"/>
      <c r="AI225" s="38"/>
      <c r="AJ225" s="38"/>
      <c r="AK225" s="38"/>
    </row>
    <row r="226" spans="1:37" s="2" customFormat="1">
      <c r="A226" s="39"/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8"/>
      <c r="AG226" s="38"/>
      <c r="AH226" s="38"/>
      <c r="AI226" s="38"/>
      <c r="AJ226" s="38"/>
      <c r="AK226" s="38"/>
    </row>
    <row r="227" spans="1:37" s="2" customFormat="1">
      <c r="A227" s="39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8"/>
      <c r="AG227" s="38"/>
      <c r="AH227" s="38"/>
      <c r="AI227" s="38"/>
      <c r="AJ227" s="38"/>
      <c r="AK227" s="38"/>
    </row>
    <row r="228" spans="1:37" s="2" customFormat="1">
      <c r="A228" s="39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8"/>
      <c r="AG228" s="38"/>
      <c r="AH228" s="38"/>
      <c r="AI228" s="38"/>
      <c r="AJ228" s="38"/>
      <c r="AK228" s="38"/>
    </row>
    <row r="229" spans="1:37" s="2" customFormat="1">
      <c r="A229" s="39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8"/>
      <c r="AG229" s="38"/>
      <c r="AH229" s="38"/>
      <c r="AI229" s="38"/>
      <c r="AJ229" s="38"/>
      <c r="AK229" s="38"/>
    </row>
    <row r="230" spans="1:37" s="2" customFormat="1">
      <c r="A230" s="39"/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8"/>
      <c r="AG230" s="38"/>
      <c r="AH230" s="38"/>
      <c r="AI230" s="38"/>
      <c r="AJ230" s="38"/>
      <c r="AK230" s="38"/>
    </row>
    <row r="231" spans="1:37" s="2" customFormat="1">
      <c r="A231" s="39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8"/>
      <c r="AG231" s="38"/>
      <c r="AH231" s="38"/>
      <c r="AI231" s="38"/>
      <c r="AJ231" s="38"/>
      <c r="AK231" s="38"/>
    </row>
    <row r="232" spans="1:37" s="2" customFormat="1">
      <c r="A232" s="39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8"/>
      <c r="AG232" s="38"/>
      <c r="AH232" s="38"/>
      <c r="AI232" s="38"/>
      <c r="AJ232" s="38"/>
      <c r="AK232" s="38"/>
    </row>
    <row r="233" spans="1:37" s="2" customFormat="1">
      <c r="A233" s="39"/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8"/>
      <c r="AG233" s="38"/>
      <c r="AH233" s="38"/>
      <c r="AI233" s="38"/>
      <c r="AJ233" s="38"/>
      <c r="AK233" s="38"/>
    </row>
    <row r="234" spans="1:37" s="2" customFormat="1">
      <c r="A234" s="39"/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8"/>
      <c r="AG234" s="38"/>
      <c r="AH234" s="38"/>
      <c r="AI234" s="38"/>
      <c r="AJ234" s="38"/>
      <c r="AK234" s="38"/>
    </row>
    <row r="235" spans="1:37" s="2" customFormat="1">
      <c r="A235" s="39"/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8"/>
      <c r="AG235" s="38"/>
      <c r="AH235" s="38"/>
      <c r="AI235" s="38"/>
      <c r="AJ235" s="38"/>
      <c r="AK235" s="38"/>
    </row>
    <row r="236" spans="1:37" s="2" customFormat="1">
      <c r="A236" s="39"/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8"/>
      <c r="AG236" s="38"/>
      <c r="AH236" s="38"/>
      <c r="AI236" s="38"/>
      <c r="AJ236" s="38"/>
      <c r="AK236" s="38"/>
    </row>
    <row r="237" spans="1:37" s="2" customFormat="1">
      <c r="A237" s="39"/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8"/>
      <c r="AG237" s="38"/>
      <c r="AH237" s="38"/>
      <c r="AI237" s="38"/>
      <c r="AJ237" s="38"/>
      <c r="AK237" s="38"/>
    </row>
    <row r="238" spans="1:37" s="2" customFormat="1">
      <c r="A238" s="39"/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8"/>
      <c r="AG238" s="38"/>
      <c r="AH238" s="38"/>
      <c r="AI238" s="38"/>
      <c r="AJ238" s="38"/>
      <c r="AK238" s="38"/>
    </row>
    <row r="239" spans="1:37" s="2" customFormat="1">
      <c r="A239" s="39"/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8"/>
      <c r="AG239" s="38"/>
      <c r="AH239" s="38"/>
      <c r="AI239" s="38"/>
      <c r="AJ239" s="38"/>
      <c r="AK239" s="38"/>
    </row>
    <row r="240" spans="1:37" s="2" customFormat="1">
      <c r="A240" s="39"/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8"/>
      <c r="AG240" s="38"/>
      <c r="AH240" s="38"/>
      <c r="AI240" s="38"/>
      <c r="AJ240" s="38"/>
      <c r="AK240" s="38"/>
    </row>
    <row r="241" spans="1:37" s="2" customFormat="1">
      <c r="A241" s="39"/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8"/>
      <c r="AG241" s="38"/>
      <c r="AH241" s="38"/>
      <c r="AI241" s="38"/>
      <c r="AJ241" s="38"/>
      <c r="AK241" s="38"/>
    </row>
    <row r="242" spans="1:37" s="2" customFormat="1">
      <c r="A242" s="39"/>
      <c r="B242" s="39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8"/>
      <c r="AG242" s="38"/>
      <c r="AH242" s="38"/>
      <c r="AI242" s="38"/>
      <c r="AJ242" s="38"/>
      <c r="AK242" s="38"/>
    </row>
    <row r="243" spans="1:37" s="2" customFormat="1">
      <c r="A243" s="39"/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8"/>
      <c r="AG243" s="38"/>
      <c r="AH243" s="38"/>
      <c r="AI243" s="38"/>
      <c r="AJ243" s="38"/>
      <c r="AK243" s="38"/>
    </row>
    <row r="244" spans="1:37" s="2" customFormat="1">
      <c r="A244" s="39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8"/>
      <c r="AG244" s="38"/>
      <c r="AH244" s="38"/>
      <c r="AI244" s="38"/>
      <c r="AJ244" s="38"/>
      <c r="AK244" s="38"/>
    </row>
    <row r="245" spans="1:37" s="2" customFormat="1">
      <c r="A245" s="39"/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8"/>
      <c r="AG245" s="38"/>
      <c r="AH245" s="38"/>
      <c r="AI245" s="38"/>
      <c r="AJ245" s="38"/>
      <c r="AK245" s="38"/>
    </row>
    <row r="246" spans="1:37" s="2" customFormat="1">
      <c r="A246" s="39"/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8"/>
      <c r="AG246" s="38"/>
      <c r="AH246" s="38"/>
      <c r="AI246" s="38"/>
      <c r="AJ246" s="38"/>
      <c r="AK246" s="38"/>
    </row>
    <row r="247" spans="1:37" s="2" customFormat="1">
      <c r="A247" s="39"/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8"/>
      <c r="AG247" s="38"/>
      <c r="AH247" s="38"/>
      <c r="AI247" s="38"/>
      <c r="AJ247" s="38"/>
      <c r="AK247" s="38"/>
    </row>
    <row r="248" spans="1:37" s="2" customFormat="1">
      <c r="A248" s="39"/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8"/>
      <c r="AG248" s="38"/>
      <c r="AH248" s="38"/>
      <c r="AI248" s="38"/>
      <c r="AJ248" s="38"/>
      <c r="AK248" s="38"/>
    </row>
    <row r="249" spans="1:37" s="2" customFormat="1">
      <c r="A249" s="39"/>
      <c r="B249" s="39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8"/>
      <c r="AG249" s="38"/>
      <c r="AH249" s="38"/>
      <c r="AI249" s="38"/>
      <c r="AJ249" s="38"/>
      <c r="AK249" s="38"/>
    </row>
    <row r="250" spans="1:37" s="2" customFormat="1">
      <c r="A250" s="39"/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8"/>
      <c r="AG250" s="38"/>
      <c r="AH250" s="38"/>
      <c r="AI250" s="38"/>
      <c r="AJ250" s="38"/>
      <c r="AK250" s="38"/>
    </row>
    <row r="251" spans="1:37" s="2" customFormat="1">
      <c r="A251" s="39"/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8"/>
      <c r="AG251" s="38"/>
      <c r="AH251" s="38"/>
      <c r="AI251" s="38"/>
      <c r="AJ251" s="38"/>
      <c r="AK251" s="38"/>
    </row>
    <row r="252" spans="1:37" s="2" customFormat="1">
      <c r="A252" s="39"/>
      <c r="B252" s="39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8"/>
      <c r="AG252" s="38"/>
      <c r="AH252" s="38"/>
      <c r="AI252" s="38"/>
      <c r="AJ252" s="38"/>
      <c r="AK252" s="38"/>
    </row>
    <row r="253" spans="1:37" s="2" customFormat="1">
      <c r="A253" s="39"/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8"/>
      <c r="AG253" s="38"/>
      <c r="AH253" s="38"/>
      <c r="AI253" s="38"/>
      <c r="AJ253" s="38"/>
      <c r="AK253" s="38"/>
    </row>
    <row r="254" spans="1:37" s="2" customFormat="1">
      <c r="A254" s="39"/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8"/>
      <c r="AG254" s="38"/>
      <c r="AH254" s="38"/>
      <c r="AI254" s="38"/>
      <c r="AJ254" s="38"/>
      <c r="AK254" s="38"/>
    </row>
    <row r="255" spans="1:37" s="2" customFormat="1">
      <c r="A255" s="39"/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8"/>
      <c r="AG255" s="38"/>
      <c r="AH255" s="38"/>
      <c r="AI255" s="38"/>
      <c r="AJ255" s="38"/>
      <c r="AK255" s="38"/>
    </row>
    <row r="256" spans="1:37" s="2" customFormat="1">
      <c r="A256" s="39"/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8"/>
      <c r="AG256" s="38"/>
      <c r="AH256" s="38"/>
      <c r="AI256" s="38"/>
      <c r="AJ256" s="38"/>
      <c r="AK256" s="38"/>
    </row>
    <row r="257" spans="1:37" s="2" customFormat="1">
      <c r="A257" s="39"/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8"/>
      <c r="AG257" s="38"/>
      <c r="AH257" s="38"/>
      <c r="AI257" s="38"/>
      <c r="AJ257" s="38"/>
      <c r="AK257" s="38"/>
    </row>
    <row r="258" spans="1:37" s="2" customFormat="1">
      <c r="A258" s="39"/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8"/>
      <c r="AG258" s="38"/>
      <c r="AH258" s="38"/>
      <c r="AI258" s="38"/>
      <c r="AJ258" s="38"/>
      <c r="AK258" s="38"/>
    </row>
    <row r="259" spans="1:37" s="2" customFormat="1">
      <c r="A259" s="39"/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8"/>
      <c r="AG259" s="38"/>
      <c r="AH259" s="38"/>
      <c r="AI259" s="38"/>
      <c r="AJ259" s="38"/>
      <c r="AK259" s="38"/>
    </row>
    <row r="260" spans="1:37" s="2" customFormat="1">
      <c r="A260" s="39"/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8"/>
      <c r="AG260" s="38"/>
      <c r="AH260" s="38"/>
      <c r="AI260" s="38"/>
      <c r="AJ260" s="38"/>
      <c r="AK260" s="38"/>
    </row>
    <row r="261" spans="1:37" s="2" customFormat="1">
      <c r="A261" s="39"/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8"/>
      <c r="AG261" s="38"/>
      <c r="AH261" s="38"/>
      <c r="AI261" s="38"/>
      <c r="AJ261" s="38"/>
      <c r="AK261" s="38"/>
    </row>
    <row r="262" spans="1:37" s="2" customFormat="1">
      <c r="A262" s="39"/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8"/>
      <c r="AG262" s="38"/>
      <c r="AH262" s="38"/>
      <c r="AI262" s="38"/>
      <c r="AJ262" s="38"/>
      <c r="AK262" s="38"/>
    </row>
    <row r="263" spans="1:37" s="2" customFormat="1">
      <c r="A263" s="39"/>
      <c r="B263" s="39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8"/>
      <c r="AG263" s="38"/>
      <c r="AH263" s="38"/>
      <c r="AI263" s="38"/>
      <c r="AJ263" s="38"/>
      <c r="AK263" s="38"/>
    </row>
    <row r="264" spans="1:37" s="2" customFormat="1">
      <c r="A264" s="39"/>
      <c r="B264" s="39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8"/>
      <c r="AG264" s="38"/>
      <c r="AH264" s="38"/>
      <c r="AI264" s="38"/>
      <c r="AJ264" s="38"/>
      <c r="AK264" s="38"/>
    </row>
    <row r="265" spans="1:37" s="2" customFormat="1">
      <c r="A265" s="39"/>
      <c r="B265" s="39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8"/>
      <c r="AG265" s="38"/>
      <c r="AH265" s="38"/>
      <c r="AI265" s="38"/>
      <c r="AJ265" s="38"/>
      <c r="AK265" s="38"/>
    </row>
    <row r="266" spans="1:37" s="2" customFormat="1">
      <c r="A266" s="39"/>
      <c r="B266" s="39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8"/>
      <c r="AG266" s="38"/>
      <c r="AH266" s="38"/>
      <c r="AI266" s="38"/>
      <c r="AJ266" s="38"/>
      <c r="AK266" s="38"/>
    </row>
    <row r="267" spans="1:37" s="2" customFormat="1">
      <c r="A267" s="39"/>
      <c r="B267" s="39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8"/>
      <c r="AG267" s="38"/>
      <c r="AH267" s="38"/>
      <c r="AI267" s="38"/>
      <c r="AJ267" s="38"/>
      <c r="AK267" s="38"/>
    </row>
    <row r="268" spans="1:37" s="2" customFormat="1">
      <c r="A268" s="39"/>
      <c r="B268" s="39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8"/>
      <c r="AG268" s="38"/>
      <c r="AH268" s="38"/>
      <c r="AI268" s="38"/>
      <c r="AJ268" s="38"/>
      <c r="AK268" s="38"/>
    </row>
    <row r="269" spans="1:37" s="2" customFormat="1">
      <c r="A269" s="39"/>
      <c r="B269" s="39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8"/>
      <c r="AG269" s="38"/>
      <c r="AH269" s="38"/>
      <c r="AI269" s="38"/>
      <c r="AJ269" s="38"/>
      <c r="AK269" s="38"/>
    </row>
    <row r="270" spans="1:37" s="2" customFormat="1">
      <c r="A270" s="39"/>
      <c r="B270" s="39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8"/>
      <c r="AG270" s="38"/>
      <c r="AH270" s="38"/>
      <c r="AI270" s="38"/>
      <c r="AJ270" s="38"/>
      <c r="AK270" s="38"/>
    </row>
    <row r="271" spans="1:37" s="2" customFormat="1">
      <c r="A271" s="39"/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8"/>
      <c r="AG271" s="38"/>
      <c r="AH271" s="38"/>
      <c r="AI271" s="38"/>
      <c r="AJ271" s="38"/>
      <c r="AK271" s="38"/>
    </row>
    <row r="272" spans="1:37" s="2" customFormat="1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8"/>
      <c r="AG272" s="38"/>
      <c r="AH272" s="38"/>
      <c r="AI272" s="38"/>
      <c r="AJ272" s="38"/>
      <c r="AK272" s="38"/>
    </row>
    <row r="273" spans="1:37" s="2" customFormat="1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8"/>
      <c r="AG273" s="38"/>
      <c r="AH273" s="38"/>
      <c r="AI273" s="38"/>
      <c r="AJ273" s="38"/>
      <c r="AK273" s="38"/>
    </row>
    <row r="274" spans="1:37" s="2" customFormat="1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8"/>
      <c r="AG274" s="38"/>
      <c r="AH274" s="38"/>
      <c r="AI274" s="38"/>
      <c r="AJ274" s="38"/>
      <c r="AK274" s="38"/>
    </row>
    <row r="275" spans="1:37" s="2" customFormat="1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8"/>
      <c r="AG275" s="38"/>
      <c r="AH275" s="38"/>
      <c r="AI275" s="38"/>
      <c r="AJ275" s="38"/>
      <c r="AK275" s="38"/>
    </row>
    <row r="276" spans="1:37" s="2" customFormat="1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8"/>
      <c r="AG276" s="38"/>
      <c r="AH276" s="38"/>
      <c r="AI276" s="38"/>
      <c r="AJ276" s="38"/>
      <c r="AK276" s="38"/>
    </row>
    <row r="277" spans="1:37" s="2" customFormat="1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8"/>
      <c r="AG277" s="38"/>
      <c r="AH277" s="38"/>
      <c r="AI277" s="38"/>
      <c r="AJ277" s="38"/>
      <c r="AK277" s="38"/>
    </row>
    <row r="278" spans="1:37" s="2" customFormat="1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8"/>
      <c r="AG278" s="38"/>
      <c r="AH278" s="38"/>
      <c r="AI278" s="38"/>
      <c r="AJ278" s="38"/>
      <c r="AK278" s="38"/>
    </row>
    <row r="279" spans="1:37" s="2" customFormat="1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8"/>
      <c r="AG279" s="38"/>
      <c r="AH279" s="38"/>
      <c r="AI279" s="38"/>
      <c r="AJ279" s="38"/>
      <c r="AK279" s="38"/>
    </row>
    <row r="280" spans="1:37" s="2" customFormat="1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  <c r="AC280" s="39"/>
      <c r="AD280" s="39"/>
      <c r="AE280" s="39"/>
      <c r="AF280" s="38"/>
      <c r="AG280" s="38"/>
      <c r="AH280" s="38"/>
      <c r="AI280" s="38"/>
      <c r="AJ280" s="38"/>
      <c r="AK280" s="38"/>
    </row>
    <row r="281" spans="1:37" s="2" customFormat="1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8"/>
      <c r="AG281" s="38"/>
      <c r="AH281" s="38"/>
      <c r="AI281" s="38"/>
      <c r="AJ281" s="38"/>
      <c r="AK281" s="38"/>
    </row>
    <row r="282" spans="1:37" s="2" customFormat="1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8"/>
      <c r="AG282" s="38"/>
      <c r="AH282" s="38"/>
      <c r="AI282" s="38"/>
      <c r="AJ282" s="38"/>
      <c r="AK282" s="38"/>
    </row>
    <row r="283" spans="1:37" s="2" customFormat="1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8"/>
      <c r="AG283" s="38"/>
      <c r="AH283" s="38"/>
      <c r="AI283" s="38"/>
      <c r="AJ283" s="38"/>
      <c r="AK283" s="38"/>
    </row>
    <row r="284" spans="1:37" s="2" customFormat="1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8"/>
      <c r="AG284" s="38"/>
      <c r="AH284" s="38"/>
      <c r="AI284" s="38"/>
      <c r="AJ284" s="38"/>
      <c r="AK284" s="38"/>
    </row>
    <row r="285" spans="1:37" s="2" customFormat="1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8"/>
      <c r="AG285" s="38"/>
      <c r="AH285" s="38"/>
      <c r="AI285" s="38"/>
      <c r="AJ285" s="38"/>
      <c r="AK285" s="38"/>
    </row>
    <row r="286" spans="1:37" s="2" customFormat="1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8"/>
      <c r="AG286" s="38"/>
      <c r="AH286" s="38"/>
      <c r="AI286" s="38"/>
      <c r="AJ286" s="38"/>
      <c r="AK286" s="38"/>
    </row>
    <row r="287" spans="1:37" s="2" customFormat="1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8"/>
      <c r="AG287" s="38"/>
      <c r="AH287" s="38"/>
      <c r="AI287" s="38"/>
      <c r="AJ287" s="38"/>
      <c r="AK287" s="38"/>
    </row>
    <row r="288" spans="1:37" s="2" customFormat="1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8"/>
      <c r="AG288" s="38"/>
      <c r="AH288" s="38"/>
      <c r="AI288" s="38"/>
      <c r="AJ288" s="38"/>
      <c r="AK288" s="38"/>
    </row>
    <row r="289" spans="1:37" s="2" customFormat="1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8"/>
      <c r="AG289" s="38"/>
      <c r="AH289" s="38"/>
      <c r="AI289" s="38"/>
      <c r="AJ289" s="38"/>
      <c r="AK289" s="38"/>
    </row>
    <row r="290" spans="1:37" s="2" customFormat="1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8"/>
      <c r="AG290" s="38"/>
      <c r="AH290" s="38"/>
      <c r="AI290" s="38"/>
      <c r="AJ290" s="38"/>
      <c r="AK290" s="38"/>
    </row>
    <row r="291" spans="1:37" s="2" customFormat="1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8"/>
      <c r="AG291" s="38"/>
      <c r="AH291" s="38"/>
      <c r="AI291" s="38"/>
      <c r="AJ291" s="38"/>
      <c r="AK291" s="38"/>
    </row>
    <row r="292" spans="1:37" s="2" customFormat="1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  <c r="AC292" s="39"/>
      <c r="AD292" s="39"/>
      <c r="AE292" s="39"/>
      <c r="AF292" s="38"/>
      <c r="AG292" s="38"/>
      <c r="AH292" s="38"/>
      <c r="AI292" s="38"/>
      <c r="AJ292" s="38"/>
      <c r="AK292" s="38"/>
    </row>
    <row r="293" spans="1:37" s="2" customFormat="1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8"/>
      <c r="AG293" s="38"/>
      <c r="AH293" s="38"/>
      <c r="AI293" s="38"/>
      <c r="AJ293" s="38"/>
      <c r="AK293" s="38"/>
    </row>
    <row r="294" spans="1:37" s="2" customFormat="1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8"/>
      <c r="AG294" s="38"/>
      <c r="AH294" s="38"/>
      <c r="AI294" s="38"/>
      <c r="AJ294" s="38"/>
      <c r="AK294" s="38"/>
    </row>
    <row r="295" spans="1:37" s="2" customFormat="1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8"/>
      <c r="AG295" s="38"/>
      <c r="AH295" s="38"/>
      <c r="AI295" s="38"/>
      <c r="AJ295" s="38"/>
      <c r="AK295" s="38"/>
    </row>
    <row r="296" spans="1:37" s="2" customFormat="1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8"/>
      <c r="AG296" s="38"/>
      <c r="AH296" s="38"/>
      <c r="AI296" s="38"/>
      <c r="AJ296" s="38"/>
      <c r="AK296" s="38"/>
    </row>
    <row r="297" spans="1:37" s="2" customFormat="1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8"/>
      <c r="AG297" s="38"/>
      <c r="AH297" s="38"/>
      <c r="AI297" s="38"/>
      <c r="AJ297" s="38"/>
      <c r="AK297" s="38"/>
    </row>
    <row r="298" spans="1:37" s="2" customFormat="1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8"/>
      <c r="AG298" s="38"/>
      <c r="AH298" s="38"/>
      <c r="AI298" s="38"/>
      <c r="AJ298" s="38"/>
      <c r="AK298" s="38"/>
    </row>
    <row r="299" spans="1:37" s="2" customFormat="1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8"/>
      <c r="AG299" s="38"/>
      <c r="AH299" s="38"/>
      <c r="AI299" s="38"/>
      <c r="AJ299" s="38"/>
      <c r="AK299" s="38"/>
    </row>
    <row r="300" spans="1:37" s="2" customFormat="1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8"/>
      <c r="AG300" s="38"/>
      <c r="AH300" s="38"/>
      <c r="AI300" s="38"/>
      <c r="AJ300" s="38"/>
      <c r="AK300" s="38"/>
    </row>
    <row r="301" spans="1:37" s="2" customFormat="1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8"/>
      <c r="AG301" s="38"/>
      <c r="AH301" s="38"/>
      <c r="AI301" s="38"/>
      <c r="AJ301" s="38"/>
      <c r="AK301" s="38"/>
    </row>
    <row r="302" spans="1:37" s="2" customFormat="1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8"/>
      <c r="AG302" s="38"/>
      <c r="AH302" s="38"/>
      <c r="AI302" s="38"/>
      <c r="AJ302" s="38"/>
      <c r="AK302" s="38"/>
    </row>
    <row r="303" spans="1:37" s="2" customFormat="1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8"/>
      <c r="AG303" s="38"/>
      <c r="AH303" s="38"/>
      <c r="AI303" s="38"/>
      <c r="AJ303" s="38"/>
      <c r="AK303" s="38"/>
    </row>
    <row r="304" spans="1:37" s="2" customFormat="1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8"/>
      <c r="AG304" s="38"/>
      <c r="AH304" s="38"/>
      <c r="AI304" s="38"/>
      <c r="AJ304" s="38"/>
      <c r="AK304" s="38"/>
    </row>
    <row r="305" spans="1:37" s="2" customFormat="1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8"/>
      <c r="AG305" s="38"/>
      <c r="AH305" s="38"/>
      <c r="AI305" s="38"/>
      <c r="AJ305" s="38"/>
      <c r="AK305" s="38"/>
    </row>
    <row r="306" spans="1:37" s="2" customFormat="1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8"/>
      <c r="AG306" s="38"/>
      <c r="AH306" s="38"/>
      <c r="AI306" s="38"/>
      <c r="AJ306" s="38"/>
      <c r="AK306" s="38"/>
    </row>
    <row r="307" spans="1:37" s="2" customFormat="1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8"/>
      <c r="AG307" s="38"/>
      <c r="AH307" s="38"/>
      <c r="AI307" s="38"/>
      <c r="AJ307" s="38"/>
      <c r="AK307" s="38"/>
    </row>
    <row r="308" spans="1:37" s="2" customFormat="1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8"/>
      <c r="AG308" s="38"/>
      <c r="AH308" s="38"/>
      <c r="AI308" s="38"/>
      <c r="AJ308" s="38"/>
      <c r="AK308" s="38"/>
    </row>
    <row r="309" spans="1:37" s="2" customFormat="1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8"/>
      <c r="AG309" s="38"/>
      <c r="AH309" s="38"/>
      <c r="AI309" s="38"/>
      <c r="AJ309" s="38"/>
      <c r="AK309" s="38"/>
    </row>
    <row r="310" spans="1:37" s="2" customFormat="1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8"/>
      <c r="AG310" s="38"/>
      <c r="AH310" s="38"/>
      <c r="AI310" s="38"/>
      <c r="AJ310" s="38"/>
      <c r="AK310" s="38"/>
    </row>
    <row r="311" spans="1:37" s="2" customFormat="1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8"/>
      <c r="AG311" s="38"/>
      <c r="AH311" s="38"/>
      <c r="AI311" s="38"/>
      <c r="AJ311" s="38"/>
      <c r="AK311" s="38"/>
    </row>
    <row r="312" spans="1:37" s="2" customFormat="1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8"/>
      <c r="AG312" s="38"/>
      <c r="AH312" s="38"/>
      <c r="AI312" s="38"/>
      <c r="AJ312" s="38"/>
      <c r="AK312" s="38"/>
    </row>
    <row r="313" spans="1:37" s="2" customFormat="1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8"/>
      <c r="AG313" s="38"/>
      <c r="AH313" s="38"/>
      <c r="AI313" s="38"/>
      <c r="AJ313" s="38"/>
      <c r="AK313" s="38"/>
    </row>
    <row r="314" spans="1:37" s="2" customFormat="1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8"/>
      <c r="AG314" s="38"/>
      <c r="AH314" s="38"/>
      <c r="AI314" s="38"/>
      <c r="AJ314" s="38"/>
      <c r="AK314" s="38"/>
    </row>
    <row r="315" spans="1:37" s="2" customFormat="1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8"/>
      <c r="AG315" s="38"/>
      <c r="AH315" s="38"/>
      <c r="AI315" s="38"/>
      <c r="AJ315" s="38"/>
      <c r="AK315" s="38"/>
    </row>
    <row r="316" spans="1:37" s="2" customFormat="1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8"/>
      <c r="AG316" s="38"/>
      <c r="AH316" s="38"/>
      <c r="AI316" s="38"/>
      <c r="AJ316" s="38"/>
      <c r="AK316" s="38"/>
    </row>
    <row r="317" spans="1:37" s="2" customFormat="1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8"/>
      <c r="AG317" s="38"/>
      <c r="AH317" s="38"/>
      <c r="AI317" s="38"/>
      <c r="AJ317" s="38"/>
      <c r="AK317" s="38"/>
    </row>
    <row r="318" spans="1:37" s="2" customFormat="1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8"/>
      <c r="AG318" s="38"/>
      <c r="AH318" s="38"/>
      <c r="AI318" s="38"/>
      <c r="AJ318" s="38"/>
      <c r="AK318" s="38"/>
    </row>
    <row r="319" spans="1:37" s="2" customFormat="1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8"/>
      <c r="AG319" s="38"/>
      <c r="AH319" s="38"/>
      <c r="AI319" s="38"/>
      <c r="AJ319" s="38"/>
      <c r="AK319" s="38"/>
    </row>
    <row r="320" spans="1:37" s="2" customFormat="1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8"/>
      <c r="AG320" s="38"/>
      <c r="AH320" s="38"/>
      <c r="AI320" s="38"/>
      <c r="AJ320" s="38"/>
      <c r="AK320" s="38"/>
    </row>
    <row r="321" spans="1:37" s="2" customFormat="1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8"/>
      <c r="AG321" s="38"/>
      <c r="AH321" s="38"/>
      <c r="AI321" s="38"/>
      <c r="AJ321" s="38"/>
      <c r="AK321" s="38"/>
    </row>
    <row r="322" spans="1:37" s="2" customFormat="1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8"/>
      <c r="AG322" s="38"/>
      <c r="AH322" s="38"/>
      <c r="AI322" s="38"/>
      <c r="AJ322" s="38"/>
      <c r="AK322" s="38"/>
    </row>
    <row r="323" spans="1:37" s="2" customFormat="1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8"/>
      <c r="AG323" s="38"/>
      <c r="AH323" s="38"/>
      <c r="AI323" s="38"/>
      <c r="AJ323" s="38"/>
      <c r="AK323" s="38"/>
    </row>
    <row r="324" spans="1:37" s="2" customFormat="1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8"/>
      <c r="AG324" s="38"/>
      <c r="AH324" s="38"/>
      <c r="AI324" s="38"/>
      <c r="AJ324" s="38"/>
      <c r="AK324" s="38"/>
    </row>
    <row r="325" spans="1:37" s="2" customFormat="1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  <c r="AC325" s="39"/>
      <c r="AD325" s="39"/>
      <c r="AE325" s="39"/>
      <c r="AF325" s="38"/>
      <c r="AG325" s="38"/>
      <c r="AH325" s="38"/>
      <c r="AI325" s="38"/>
      <c r="AJ325" s="38"/>
      <c r="AK325" s="38"/>
    </row>
    <row r="326" spans="1:37" s="2" customFormat="1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  <c r="AC326" s="39"/>
      <c r="AD326" s="39"/>
      <c r="AE326" s="39"/>
      <c r="AF326" s="38"/>
      <c r="AG326" s="38"/>
      <c r="AH326" s="38"/>
      <c r="AI326" s="38"/>
      <c r="AJ326" s="38"/>
      <c r="AK326" s="38"/>
    </row>
    <row r="327" spans="1:37" s="2" customFormat="1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  <c r="AC327" s="39"/>
      <c r="AD327" s="39"/>
      <c r="AE327" s="39"/>
      <c r="AF327" s="38"/>
      <c r="AG327" s="38"/>
      <c r="AH327" s="38"/>
      <c r="AI327" s="38"/>
      <c r="AJ327" s="38"/>
      <c r="AK327" s="38"/>
    </row>
    <row r="328" spans="1:37" s="2" customFormat="1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9"/>
      <c r="X328" s="39"/>
      <c r="Y328" s="39"/>
      <c r="Z328" s="39"/>
      <c r="AA328" s="39"/>
      <c r="AB328" s="39"/>
      <c r="AC328" s="39"/>
      <c r="AD328" s="39"/>
      <c r="AE328" s="39"/>
      <c r="AF328" s="38"/>
      <c r="AG328" s="38"/>
      <c r="AH328" s="38"/>
      <c r="AI328" s="38"/>
      <c r="AJ328" s="38"/>
      <c r="AK328" s="38"/>
    </row>
    <row r="329" spans="1:37" s="2" customFormat="1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  <c r="AC329" s="39"/>
      <c r="AD329" s="39"/>
      <c r="AE329" s="39"/>
      <c r="AF329" s="38"/>
      <c r="AG329" s="38"/>
      <c r="AH329" s="38"/>
      <c r="AI329" s="38"/>
      <c r="AJ329" s="38"/>
      <c r="AK329" s="38"/>
    </row>
    <row r="330" spans="1:37" s="2" customFormat="1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8"/>
      <c r="AG330" s="38"/>
      <c r="AH330" s="38"/>
      <c r="AI330" s="38"/>
      <c r="AJ330" s="38"/>
      <c r="AK330" s="38"/>
    </row>
    <row r="331" spans="1:37" s="2" customFormat="1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8"/>
      <c r="AG331" s="38"/>
      <c r="AH331" s="38"/>
      <c r="AI331" s="38"/>
      <c r="AJ331" s="38"/>
      <c r="AK331" s="38"/>
    </row>
    <row r="332" spans="1:37" s="2" customFormat="1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8"/>
      <c r="AG332" s="38"/>
      <c r="AH332" s="38"/>
      <c r="AI332" s="38"/>
      <c r="AJ332" s="38"/>
      <c r="AK332" s="38"/>
    </row>
    <row r="333" spans="1:37" s="2" customFormat="1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8"/>
      <c r="AG333" s="38"/>
      <c r="AH333" s="38"/>
      <c r="AI333" s="38"/>
      <c r="AJ333" s="38"/>
      <c r="AK333" s="38"/>
    </row>
    <row r="334" spans="1:37" s="2" customFormat="1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8"/>
      <c r="AG334" s="38"/>
      <c r="AH334" s="38"/>
      <c r="AI334" s="38"/>
      <c r="AJ334" s="38"/>
      <c r="AK334" s="38"/>
    </row>
    <row r="335" spans="1:37" s="2" customFormat="1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8"/>
      <c r="AG335" s="38"/>
      <c r="AH335" s="38"/>
      <c r="AI335" s="38"/>
      <c r="AJ335" s="38"/>
      <c r="AK335" s="38"/>
    </row>
    <row r="336" spans="1:37" s="2" customFormat="1">
      <c r="A336" s="39"/>
      <c r="B336" s="39"/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8"/>
      <c r="AG336" s="38"/>
      <c r="AH336" s="38"/>
      <c r="AI336" s="38"/>
      <c r="AJ336" s="38"/>
      <c r="AK336" s="38"/>
    </row>
    <row r="337" spans="1:37" s="2" customFormat="1">
      <c r="A337" s="39"/>
      <c r="B337" s="39"/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8"/>
      <c r="AG337" s="38"/>
      <c r="AH337" s="38"/>
      <c r="AI337" s="38"/>
      <c r="AJ337" s="38"/>
      <c r="AK337" s="38"/>
    </row>
    <row r="338" spans="1:37" s="2" customFormat="1">
      <c r="A338" s="39"/>
      <c r="B338" s="39"/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  <c r="AC338" s="39"/>
      <c r="AD338" s="39"/>
      <c r="AE338" s="39"/>
      <c r="AF338" s="38"/>
      <c r="AG338" s="38"/>
      <c r="AH338" s="38"/>
      <c r="AI338" s="38"/>
      <c r="AJ338" s="38"/>
      <c r="AK338" s="38"/>
    </row>
    <row r="339" spans="1:37" s="2" customFormat="1">
      <c r="A339" s="39"/>
      <c r="B339" s="39"/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  <c r="AC339" s="39"/>
      <c r="AD339" s="39"/>
      <c r="AE339" s="39"/>
      <c r="AF339" s="38"/>
      <c r="AG339" s="38"/>
      <c r="AH339" s="38"/>
      <c r="AI339" s="38"/>
      <c r="AJ339" s="38"/>
      <c r="AK339" s="38"/>
    </row>
    <row r="340" spans="1:37" s="2" customFormat="1">
      <c r="A340" s="39"/>
      <c r="B340" s="39"/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39"/>
      <c r="Z340" s="39"/>
      <c r="AA340" s="39"/>
      <c r="AB340" s="39"/>
      <c r="AC340" s="39"/>
      <c r="AD340" s="39"/>
      <c r="AE340" s="39"/>
      <c r="AF340" s="38"/>
      <c r="AG340" s="38"/>
      <c r="AH340" s="38"/>
      <c r="AI340" s="38"/>
      <c r="AJ340" s="38"/>
      <c r="AK340" s="38"/>
    </row>
    <row r="341" spans="1:37" s="2" customFormat="1">
      <c r="A341" s="39"/>
      <c r="B341" s="39"/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  <c r="AC341" s="39"/>
      <c r="AD341" s="39"/>
      <c r="AE341" s="39"/>
      <c r="AF341" s="38"/>
      <c r="AG341" s="38"/>
      <c r="AH341" s="38"/>
      <c r="AI341" s="38"/>
      <c r="AJ341" s="38"/>
      <c r="AK341" s="38"/>
    </row>
    <row r="342" spans="1:37" s="2" customFormat="1">
      <c r="A342" s="39"/>
      <c r="B342" s="39"/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9"/>
      <c r="X342" s="39"/>
      <c r="Y342" s="39"/>
      <c r="Z342" s="39"/>
      <c r="AA342" s="39"/>
      <c r="AB342" s="39"/>
      <c r="AC342" s="39"/>
      <c r="AD342" s="39"/>
      <c r="AE342" s="39"/>
      <c r="AF342" s="38"/>
      <c r="AG342" s="38"/>
      <c r="AH342" s="38"/>
      <c r="AI342" s="38"/>
      <c r="AJ342" s="38"/>
      <c r="AK342" s="38"/>
    </row>
    <row r="343" spans="1:37" s="2" customFormat="1">
      <c r="A343" s="39"/>
      <c r="B343" s="39"/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39"/>
      <c r="Z343" s="39"/>
      <c r="AA343" s="39"/>
      <c r="AB343" s="39"/>
      <c r="AC343" s="39"/>
      <c r="AD343" s="39"/>
      <c r="AE343" s="39"/>
      <c r="AF343" s="38"/>
      <c r="AG343" s="38"/>
      <c r="AH343" s="38"/>
      <c r="AI343" s="38"/>
      <c r="AJ343" s="38"/>
      <c r="AK343" s="38"/>
    </row>
    <row r="344" spans="1:37" s="2" customFormat="1">
      <c r="A344" s="39"/>
      <c r="B344" s="39"/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/>
      <c r="Y344" s="39"/>
      <c r="Z344" s="39"/>
      <c r="AA344" s="39"/>
      <c r="AB344" s="39"/>
      <c r="AC344" s="39"/>
      <c r="AD344" s="39"/>
      <c r="AE344" s="39"/>
      <c r="AF344" s="38"/>
      <c r="AG344" s="38"/>
      <c r="AH344" s="38"/>
      <c r="AI344" s="38"/>
      <c r="AJ344" s="38"/>
      <c r="AK344" s="38"/>
    </row>
    <row r="345" spans="1:37" s="2" customFormat="1">
      <c r="A345" s="39"/>
      <c r="B345" s="39"/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/>
      <c r="Y345" s="39"/>
      <c r="Z345" s="39"/>
      <c r="AA345" s="39"/>
      <c r="AB345" s="39"/>
      <c r="AC345" s="39"/>
      <c r="AD345" s="39"/>
      <c r="AE345" s="39"/>
      <c r="AF345" s="38"/>
      <c r="AG345" s="38"/>
      <c r="AH345" s="38"/>
      <c r="AI345" s="38"/>
      <c r="AJ345" s="38"/>
      <c r="AK345" s="38"/>
    </row>
    <row r="346" spans="1:37" s="2" customFormat="1">
      <c r="A346" s="39"/>
      <c r="B346" s="39"/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  <c r="AC346" s="39"/>
      <c r="AD346" s="39"/>
      <c r="AE346" s="39"/>
      <c r="AF346" s="38"/>
      <c r="AG346" s="38"/>
      <c r="AH346" s="38"/>
      <c r="AI346" s="38"/>
      <c r="AJ346" s="38"/>
      <c r="AK346" s="38"/>
    </row>
    <row r="347" spans="1:37" s="2" customFormat="1">
      <c r="A347" s="39"/>
      <c r="B347" s="39"/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  <c r="AC347" s="39"/>
      <c r="AD347" s="39"/>
      <c r="AE347" s="39"/>
      <c r="AF347" s="38"/>
      <c r="AG347" s="38"/>
      <c r="AH347" s="38"/>
      <c r="AI347" s="38"/>
      <c r="AJ347" s="38"/>
      <c r="AK347" s="38"/>
    </row>
    <row r="348" spans="1:37" s="2" customFormat="1">
      <c r="A348" s="39"/>
      <c r="B348" s="39"/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  <c r="AC348" s="39"/>
      <c r="AD348" s="39"/>
      <c r="AE348" s="39"/>
      <c r="AF348" s="38"/>
      <c r="AG348" s="38"/>
      <c r="AH348" s="38"/>
      <c r="AI348" s="38"/>
      <c r="AJ348" s="38"/>
      <c r="AK348" s="38"/>
    </row>
    <row r="349" spans="1:37" s="2" customFormat="1">
      <c r="A349" s="39"/>
      <c r="B349" s="39"/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  <c r="AC349" s="39"/>
      <c r="AD349" s="39"/>
      <c r="AE349" s="39"/>
      <c r="AF349" s="38"/>
      <c r="AG349" s="38"/>
      <c r="AH349" s="38"/>
      <c r="AI349" s="38"/>
      <c r="AJ349" s="38"/>
      <c r="AK349" s="38"/>
    </row>
    <row r="350" spans="1:37" s="2" customFormat="1">
      <c r="A350" s="39"/>
      <c r="B350" s="39"/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  <c r="AC350" s="39"/>
      <c r="AD350" s="39"/>
      <c r="AE350" s="39"/>
      <c r="AF350" s="38"/>
      <c r="AG350" s="38"/>
      <c r="AH350" s="38"/>
      <c r="AI350" s="38"/>
      <c r="AJ350" s="38"/>
      <c r="AK350" s="38"/>
    </row>
    <row r="351" spans="1:37" s="2" customFormat="1">
      <c r="A351" s="39"/>
      <c r="B351" s="39"/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  <c r="AC351" s="39"/>
      <c r="AD351" s="39"/>
      <c r="AE351" s="39"/>
      <c r="AF351" s="38"/>
      <c r="AG351" s="38"/>
      <c r="AH351" s="38"/>
      <c r="AI351" s="38"/>
      <c r="AJ351" s="38"/>
      <c r="AK351" s="38"/>
    </row>
    <row r="352" spans="1:37" s="2" customFormat="1">
      <c r="A352" s="39"/>
      <c r="B352" s="39"/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  <c r="AC352" s="39"/>
      <c r="AD352" s="39"/>
      <c r="AE352" s="39"/>
      <c r="AF352" s="38"/>
      <c r="AG352" s="38"/>
      <c r="AH352" s="38"/>
      <c r="AI352" s="38"/>
      <c r="AJ352" s="38"/>
      <c r="AK352" s="38"/>
    </row>
    <row r="353" spans="1:37" s="2" customFormat="1">
      <c r="A353" s="39"/>
      <c r="B353" s="39"/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  <c r="AC353" s="39"/>
      <c r="AD353" s="39"/>
      <c r="AE353" s="39"/>
      <c r="AF353" s="38"/>
      <c r="AG353" s="38"/>
      <c r="AH353" s="38"/>
      <c r="AI353" s="38"/>
      <c r="AJ353" s="38"/>
      <c r="AK353" s="38"/>
    </row>
    <row r="354" spans="1:37" s="2" customFormat="1">
      <c r="A354" s="39"/>
      <c r="B354" s="39"/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/>
      <c r="Y354" s="39"/>
      <c r="Z354" s="39"/>
      <c r="AA354" s="39"/>
      <c r="AB354" s="39"/>
      <c r="AC354" s="39"/>
      <c r="AD354" s="39"/>
      <c r="AE354" s="39"/>
      <c r="AF354" s="38"/>
      <c r="AG354" s="38"/>
      <c r="AH354" s="38"/>
      <c r="AI354" s="38"/>
      <c r="AJ354" s="38"/>
      <c r="AK354" s="38"/>
    </row>
    <row r="355" spans="1:37" s="2" customFormat="1">
      <c r="A355" s="39"/>
      <c r="B355" s="39"/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/>
      <c r="Y355" s="39"/>
      <c r="Z355" s="39"/>
      <c r="AA355" s="39"/>
      <c r="AB355" s="39"/>
      <c r="AC355" s="39"/>
      <c r="AD355" s="39"/>
      <c r="AE355" s="39"/>
      <c r="AF355" s="38"/>
      <c r="AG355" s="38"/>
      <c r="AH355" s="38"/>
      <c r="AI355" s="38"/>
      <c r="AJ355" s="38"/>
      <c r="AK355" s="38"/>
    </row>
    <row r="356" spans="1:37" s="2" customFormat="1">
      <c r="A356" s="39"/>
      <c r="B356" s="39"/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39"/>
      <c r="Z356" s="39"/>
      <c r="AA356" s="39"/>
      <c r="AB356" s="39"/>
      <c r="AC356" s="39"/>
      <c r="AD356" s="39"/>
      <c r="AE356" s="39"/>
      <c r="AF356" s="38"/>
      <c r="AG356" s="38"/>
      <c r="AH356" s="38"/>
      <c r="AI356" s="38"/>
      <c r="AJ356" s="38"/>
      <c r="AK356" s="38"/>
    </row>
    <row r="357" spans="1:37" s="2" customFormat="1">
      <c r="A357" s="39"/>
      <c r="B357" s="39"/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/>
      <c r="Y357" s="39"/>
      <c r="Z357" s="39"/>
      <c r="AA357" s="39"/>
      <c r="AB357" s="39"/>
      <c r="AC357" s="39"/>
      <c r="AD357" s="39"/>
      <c r="AE357" s="39"/>
      <c r="AF357" s="38"/>
      <c r="AG357" s="38"/>
      <c r="AH357" s="38"/>
      <c r="AI357" s="38"/>
      <c r="AJ357" s="38"/>
      <c r="AK357" s="38"/>
    </row>
    <row r="358" spans="1:37" s="2" customFormat="1">
      <c r="A358" s="39"/>
      <c r="B358" s="39"/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/>
      <c r="Y358" s="39"/>
      <c r="Z358" s="39"/>
      <c r="AA358" s="39"/>
      <c r="AB358" s="39"/>
      <c r="AC358" s="39"/>
      <c r="AD358" s="39"/>
      <c r="AE358" s="39"/>
      <c r="AF358" s="38"/>
      <c r="AG358" s="38"/>
      <c r="AH358" s="38"/>
      <c r="AI358" s="38"/>
      <c r="AJ358" s="38"/>
      <c r="AK358" s="38"/>
    </row>
    <row r="359" spans="1:37" s="2" customFormat="1">
      <c r="A359" s="39"/>
      <c r="B359" s="39"/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39"/>
      <c r="Z359" s="39"/>
      <c r="AA359" s="39"/>
      <c r="AB359" s="39"/>
      <c r="AC359" s="39"/>
      <c r="AD359" s="39"/>
      <c r="AE359" s="39"/>
      <c r="AF359" s="38"/>
      <c r="AG359" s="38"/>
      <c r="AH359" s="38"/>
      <c r="AI359" s="38"/>
      <c r="AJ359" s="38"/>
      <c r="AK359" s="38"/>
    </row>
    <row r="360" spans="1:37" s="2" customFormat="1">
      <c r="A360" s="39"/>
      <c r="B360" s="39"/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39"/>
      <c r="Z360" s="39"/>
      <c r="AA360" s="39"/>
      <c r="AB360" s="39"/>
      <c r="AC360" s="39"/>
      <c r="AD360" s="39"/>
      <c r="AE360" s="39"/>
      <c r="AF360" s="38"/>
      <c r="AG360" s="38"/>
      <c r="AH360" s="38"/>
      <c r="AI360" s="38"/>
      <c r="AJ360" s="38"/>
      <c r="AK360" s="38"/>
    </row>
    <row r="361" spans="1:37" s="2" customFormat="1">
      <c r="A361" s="39"/>
      <c r="B361" s="39"/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/>
      <c r="Y361" s="39"/>
      <c r="Z361" s="39"/>
      <c r="AA361" s="39"/>
      <c r="AB361" s="39"/>
      <c r="AC361" s="39"/>
      <c r="AD361" s="39"/>
      <c r="AE361" s="39"/>
      <c r="AF361" s="38"/>
      <c r="AG361" s="38"/>
      <c r="AH361" s="38"/>
      <c r="AI361" s="38"/>
      <c r="AJ361" s="38"/>
      <c r="AK361" s="38"/>
    </row>
    <row r="362" spans="1:37" s="2" customFormat="1">
      <c r="A362" s="39"/>
      <c r="B362" s="39"/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  <c r="AC362" s="39"/>
      <c r="AD362" s="39"/>
      <c r="AE362" s="39"/>
      <c r="AF362" s="38"/>
      <c r="AG362" s="38"/>
      <c r="AH362" s="38"/>
      <c r="AI362" s="38"/>
      <c r="AJ362" s="38"/>
      <c r="AK362" s="38"/>
    </row>
    <row r="363" spans="1:37" s="2" customFormat="1">
      <c r="A363" s="39"/>
      <c r="B363" s="39"/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  <c r="AC363" s="39"/>
      <c r="AD363" s="39"/>
      <c r="AE363" s="39"/>
      <c r="AF363" s="38"/>
      <c r="AG363" s="38"/>
      <c r="AH363" s="38"/>
      <c r="AI363" s="38"/>
      <c r="AJ363" s="38"/>
      <c r="AK363" s="38"/>
    </row>
    <row r="364" spans="1:37" s="2" customFormat="1">
      <c r="A364" s="39"/>
      <c r="B364" s="39"/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  <c r="AC364" s="39"/>
      <c r="AD364" s="39"/>
      <c r="AE364" s="39"/>
      <c r="AF364" s="38"/>
      <c r="AG364" s="38"/>
      <c r="AH364" s="38"/>
      <c r="AI364" s="38"/>
      <c r="AJ364" s="38"/>
      <c r="AK364" s="38"/>
    </row>
    <row r="365" spans="1:37" s="2" customFormat="1">
      <c r="A365" s="39"/>
      <c r="B365" s="39"/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  <c r="AC365" s="39"/>
      <c r="AD365" s="39"/>
      <c r="AE365" s="39"/>
      <c r="AF365" s="38"/>
      <c r="AG365" s="38"/>
      <c r="AH365" s="38"/>
      <c r="AI365" s="38"/>
      <c r="AJ365" s="38"/>
      <c r="AK365" s="38"/>
    </row>
    <row r="366" spans="1:37" s="2" customFormat="1">
      <c r="A366" s="39"/>
      <c r="B366" s="39"/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  <c r="AC366" s="39"/>
      <c r="AD366" s="39"/>
      <c r="AE366" s="39"/>
      <c r="AF366" s="38"/>
      <c r="AG366" s="38"/>
      <c r="AH366" s="38"/>
      <c r="AI366" s="38"/>
      <c r="AJ366" s="38"/>
      <c r="AK366" s="38"/>
    </row>
    <row r="367" spans="1:37" s="2" customFormat="1">
      <c r="A367" s="39"/>
      <c r="B367" s="39"/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  <c r="AC367" s="39"/>
      <c r="AD367" s="39"/>
      <c r="AE367" s="39"/>
      <c r="AF367" s="38"/>
      <c r="AG367" s="38"/>
      <c r="AH367" s="38"/>
      <c r="AI367" s="38"/>
      <c r="AJ367" s="38"/>
      <c r="AK367" s="38"/>
    </row>
    <row r="368" spans="1:37" s="2" customFormat="1">
      <c r="A368" s="39"/>
      <c r="B368" s="39"/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  <c r="AC368" s="39"/>
      <c r="AD368" s="39"/>
      <c r="AE368" s="39"/>
      <c r="AF368" s="38"/>
      <c r="AG368" s="38"/>
      <c r="AH368" s="38"/>
      <c r="AI368" s="38"/>
      <c r="AJ368" s="38"/>
      <c r="AK368" s="38"/>
    </row>
    <row r="369" spans="1:37" s="2" customFormat="1">
      <c r="A369" s="39"/>
      <c r="B369" s="39"/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  <c r="AC369" s="39"/>
      <c r="AD369" s="39"/>
      <c r="AE369" s="39"/>
      <c r="AF369" s="38"/>
      <c r="AG369" s="38"/>
      <c r="AH369" s="38"/>
      <c r="AI369" s="38"/>
      <c r="AJ369" s="38"/>
      <c r="AK369" s="38"/>
    </row>
    <row r="370" spans="1:37" s="2" customFormat="1">
      <c r="A370" s="39"/>
      <c r="B370" s="39"/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39"/>
      <c r="Z370" s="39"/>
      <c r="AA370" s="39"/>
      <c r="AB370" s="39"/>
      <c r="AC370" s="39"/>
      <c r="AD370" s="39"/>
      <c r="AE370" s="39"/>
      <c r="AF370" s="38"/>
      <c r="AG370" s="38"/>
      <c r="AH370" s="38"/>
      <c r="AI370" s="38"/>
      <c r="AJ370" s="38"/>
      <c r="AK370" s="38"/>
    </row>
    <row r="371" spans="1:37" s="2" customFormat="1">
      <c r="A371" s="39"/>
      <c r="B371" s="39"/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39"/>
      <c r="X371" s="39"/>
      <c r="Y371" s="39"/>
      <c r="Z371" s="39"/>
      <c r="AA371" s="39"/>
      <c r="AB371" s="39"/>
      <c r="AC371" s="39"/>
      <c r="AD371" s="39"/>
      <c r="AE371" s="39"/>
      <c r="AF371" s="38"/>
      <c r="AG371" s="38"/>
      <c r="AH371" s="38"/>
      <c r="AI371" s="38"/>
      <c r="AJ371" s="38"/>
      <c r="AK371" s="38"/>
    </row>
    <row r="372" spans="1:37" s="2" customFormat="1">
      <c r="A372" s="39"/>
      <c r="B372" s="39"/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9"/>
      <c r="X372" s="39"/>
      <c r="Y372" s="39"/>
      <c r="Z372" s="39"/>
      <c r="AA372" s="39"/>
      <c r="AB372" s="39"/>
      <c r="AC372" s="39"/>
      <c r="AD372" s="39"/>
      <c r="AE372" s="39"/>
      <c r="AF372" s="38"/>
      <c r="AG372" s="38"/>
      <c r="AH372" s="38"/>
      <c r="AI372" s="38"/>
      <c r="AJ372" s="38"/>
      <c r="AK372" s="38"/>
    </row>
    <row r="373" spans="1:37" s="2" customFormat="1">
      <c r="A373" s="39"/>
      <c r="B373" s="39"/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  <c r="AA373" s="39"/>
      <c r="AB373" s="39"/>
      <c r="AC373" s="39"/>
      <c r="AD373" s="39"/>
      <c r="AE373" s="39"/>
      <c r="AF373" s="38"/>
      <c r="AG373" s="38"/>
      <c r="AH373" s="38"/>
      <c r="AI373" s="38"/>
      <c r="AJ373" s="38"/>
      <c r="AK373" s="38"/>
    </row>
    <row r="374" spans="1:37" s="2" customFormat="1">
      <c r="A374" s="39"/>
      <c r="B374" s="39"/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  <c r="AA374" s="39"/>
      <c r="AB374" s="39"/>
      <c r="AC374" s="39"/>
      <c r="AD374" s="39"/>
      <c r="AE374" s="39"/>
      <c r="AF374" s="38"/>
      <c r="AG374" s="38"/>
      <c r="AH374" s="38"/>
      <c r="AI374" s="38"/>
      <c r="AJ374" s="38"/>
      <c r="AK374" s="38"/>
    </row>
    <row r="375" spans="1:37" s="2" customFormat="1">
      <c r="A375" s="39"/>
      <c r="B375" s="39"/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  <c r="AA375" s="39"/>
      <c r="AB375" s="39"/>
      <c r="AC375" s="39"/>
      <c r="AD375" s="39"/>
      <c r="AE375" s="39"/>
      <c r="AF375" s="38"/>
      <c r="AG375" s="38"/>
      <c r="AH375" s="38"/>
      <c r="AI375" s="38"/>
      <c r="AJ375" s="38"/>
      <c r="AK375" s="38"/>
    </row>
    <row r="376" spans="1:37" s="2" customFormat="1">
      <c r="A376" s="39"/>
      <c r="B376" s="39"/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  <c r="AA376" s="39"/>
      <c r="AB376" s="39"/>
      <c r="AC376" s="39"/>
      <c r="AD376" s="39"/>
      <c r="AE376" s="39"/>
      <c r="AF376" s="38"/>
      <c r="AG376" s="38"/>
      <c r="AH376" s="38"/>
      <c r="AI376" s="38"/>
      <c r="AJ376" s="38"/>
      <c r="AK376" s="38"/>
    </row>
    <row r="377" spans="1:37" s="2" customFormat="1">
      <c r="A377" s="39"/>
      <c r="B377" s="39"/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  <c r="AA377" s="39"/>
      <c r="AB377" s="39"/>
      <c r="AC377" s="39"/>
      <c r="AD377" s="39"/>
      <c r="AE377" s="39"/>
      <c r="AF377" s="38"/>
      <c r="AG377" s="38"/>
      <c r="AH377" s="38"/>
      <c r="AI377" s="38"/>
      <c r="AJ377" s="38"/>
      <c r="AK377" s="38"/>
    </row>
    <row r="378" spans="1:37" s="2" customFormat="1">
      <c r="A378" s="39"/>
      <c r="B378" s="39"/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  <c r="AC378" s="39"/>
      <c r="AD378" s="39"/>
      <c r="AE378" s="39"/>
      <c r="AF378" s="38"/>
      <c r="AG378" s="38"/>
      <c r="AH378" s="38"/>
      <c r="AI378" s="38"/>
      <c r="AJ378" s="38"/>
      <c r="AK378" s="38"/>
    </row>
    <row r="379" spans="1:37" s="2" customFormat="1">
      <c r="A379" s="39"/>
      <c r="B379" s="39"/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  <c r="AC379" s="39"/>
      <c r="AD379" s="39"/>
      <c r="AE379" s="39"/>
      <c r="AF379" s="38"/>
      <c r="AG379" s="38"/>
      <c r="AH379" s="38"/>
      <c r="AI379" s="38"/>
      <c r="AJ379" s="38"/>
      <c r="AK379" s="38"/>
    </row>
    <row r="380" spans="1:37" s="2" customFormat="1">
      <c r="A380" s="39"/>
      <c r="B380" s="39"/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D380" s="39"/>
      <c r="AE380" s="39"/>
      <c r="AF380" s="38"/>
      <c r="AG380" s="38"/>
      <c r="AH380" s="38"/>
      <c r="AI380" s="38"/>
      <c r="AJ380" s="38"/>
      <c r="AK380" s="38"/>
    </row>
    <row r="381" spans="1:37" s="2" customFormat="1">
      <c r="A381" s="39"/>
      <c r="B381" s="39"/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8"/>
      <c r="AG381" s="38"/>
      <c r="AH381" s="38"/>
      <c r="AI381" s="38"/>
      <c r="AJ381" s="38"/>
      <c r="AK381" s="38"/>
    </row>
    <row r="382" spans="1:37" s="2" customFormat="1">
      <c r="A382" s="39"/>
      <c r="B382" s="39"/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8"/>
      <c r="AG382" s="38"/>
      <c r="AH382" s="38"/>
      <c r="AI382" s="38"/>
      <c r="AJ382" s="38"/>
      <c r="AK382" s="38"/>
    </row>
    <row r="383" spans="1:37" s="2" customFormat="1">
      <c r="A383" s="39"/>
      <c r="B383" s="39"/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8"/>
      <c r="AG383" s="38"/>
      <c r="AH383" s="38"/>
      <c r="AI383" s="38"/>
      <c r="AJ383" s="38"/>
      <c r="AK383" s="38"/>
    </row>
    <row r="384" spans="1:37" s="2" customFormat="1">
      <c r="A384" s="39"/>
      <c r="B384" s="39"/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  <c r="AC384" s="39"/>
      <c r="AD384" s="39"/>
      <c r="AE384" s="39"/>
      <c r="AF384" s="38"/>
      <c r="AG384" s="38"/>
      <c r="AH384" s="38"/>
      <c r="AI384" s="38"/>
      <c r="AJ384" s="38"/>
      <c r="AK384" s="38"/>
    </row>
    <row r="385" spans="1:37" s="2" customFormat="1">
      <c r="A385" s="39"/>
      <c r="B385" s="39"/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  <c r="AC385" s="39"/>
      <c r="AD385" s="39"/>
      <c r="AE385" s="39"/>
      <c r="AF385" s="38"/>
      <c r="AG385" s="38"/>
      <c r="AH385" s="38"/>
      <c r="AI385" s="38"/>
      <c r="AJ385" s="38"/>
      <c r="AK385" s="38"/>
    </row>
    <row r="386" spans="1:37" s="2" customFormat="1">
      <c r="A386" s="39"/>
      <c r="B386" s="39"/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  <c r="AA386" s="39"/>
      <c r="AB386" s="39"/>
      <c r="AC386" s="39"/>
      <c r="AD386" s="39"/>
      <c r="AE386" s="39"/>
      <c r="AF386" s="38"/>
      <c r="AG386" s="38"/>
      <c r="AH386" s="38"/>
      <c r="AI386" s="38"/>
      <c r="AJ386" s="38"/>
      <c r="AK386" s="38"/>
    </row>
    <row r="387" spans="1:37" s="2" customFormat="1">
      <c r="A387" s="39"/>
      <c r="B387" s="39"/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39"/>
      <c r="X387" s="39"/>
      <c r="Y387" s="39"/>
      <c r="Z387" s="39"/>
      <c r="AA387" s="39"/>
      <c r="AB387" s="39"/>
      <c r="AC387" s="39"/>
      <c r="AD387" s="39"/>
      <c r="AE387" s="39"/>
      <c r="AF387" s="38"/>
      <c r="AG387" s="38"/>
      <c r="AH387" s="38"/>
      <c r="AI387" s="38"/>
      <c r="AJ387" s="38"/>
      <c r="AK387" s="38"/>
    </row>
    <row r="388" spans="1:37" s="2" customFormat="1">
      <c r="A388" s="39"/>
      <c r="B388" s="39"/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  <c r="AA388" s="39"/>
      <c r="AB388" s="39"/>
      <c r="AC388" s="39"/>
      <c r="AD388" s="39"/>
      <c r="AE388" s="39"/>
      <c r="AF388" s="38"/>
      <c r="AG388" s="38"/>
      <c r="AH388" s="38"/>
      <c r="AI388" s="38"/>
      <c r="AJ388" s="38"/>
      <c r="AK388" s="38"/>
    </row>
    <row r="389" spans="1:37" s="2" customFormat="1">
      <c r="A389" s="39"/>
      <c r="B389" s="39"/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  <c r="AA389" s="39"/>
      <c r="AB389" s="39"/>
      <c r="AC389" s="39"/>
      <c r="AD389" s="39"/>
      <c r="AE389" s="39"/>
      <c r="AF389" s="38"/>
      <c r="AG389" s="38"/>
      <c r="AH389" s="38"/>
      <c r="AI389" s="38"/>
      <c r="AJ389" s="38"/>
      <c r="AK389" s="38"/>
    </row>
    <row r="390" spans="1:37" s="2" customFormat="1">
      <c r="A390" s="39"/>
      <c r="B390" s="39"/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  <c r="AA390" s="39"/>
      <c r="AB390" s="39"/>
      <c r="AC390" s="39"/>
      <c r="AD390" s="39"/>
      <c r="AE390" s="39"/>
      <c r="AF390" s="38"/>
      <c r="AG390" s="38"/>
      <c r="AH390" s="38"/>
      <c r="AI390" s="38"/>
      <c r="AJ390" s="38"/>
      <c r="AK390" s="38"/>
    </row>
    <row r="391" spans="1:37" s="2" customFormat="1">
      <c r="A391" s="39"/>
      <c r="B391" s="39"/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  <c r="AA391" s="39"/>
      <c r="AB391" s="39"/>
      <c r="AC391" s="39"/>
      <c r="AD391" s="39"/>
      <c r="AE391" s="39"/>
      <c r="AF391" s="38"/>
      <c r="AG391" s="38"/>
      <c r="AH391" s="38"/>
      <c r="AI391" s="38"/>
      <c r="AJ391" s="38"/>
      <c r="AK391" s="38"/>
    </row>
    <row r="392" spans="1:37" s="2" customFormat="1">
      <c r="A392" s="39"/>
      <c r="B392" s="39"/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  <c r="AA392" s="39"/>
      <c r="AB392" s="39"/>
      <c r="AC392" s="39"/>
      <c r="AD392" s="39"/>
      <c r="AE392" s="39"/>
      <c r="AF392" s="38"/>
      <c r="AG392" s="38"/>
      <c r="AH392" s="38"/>
      <c r="AI392" s="38"/>
      <c r="AJ392" s="38"/>
      <c r="AK392" s="38"/>
    </row>
    <row r="393" spans="1:37" s="2" customFormat="1">
      <c r="A393" s="39"/>
      <c r="B393" s="39"/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  <c r="AA393" s="39"/>
      <c r="AB393" s="39"/>
      <c r="AC393" s="39"/>
      <c r="AD393" s="39"/>
      <c r="AE393" s="39"/>
      <c r="AF393" s="38"/>
      <c r="AG393" s="38"/>
      <c r="AH393" s="38"/>
      <c r="AI393" s="38"/>
      <c r="AJ393" s="38"/>
      <c r="AK393" s="38"/>
    </row>
    <row r="394" spans="1:37" s="2" customFormat="1">
      <c r="A394" s="39"/>
      <c r="B394" s="39"/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  <c r="AC394" s="39"/>
      <c r="AD394" s="39"/>
      <c r="AE394" s="39"/>
      <c r="AF394" s="38"/>
      <c r="AG394" s="38"/>
      <c r="AH394" s="38"/>
      <c r="AI394" s="38"/>
      <c r="AJ394" s="38"/>
      <c r="AK394" s="38"/>
    </row>
    <row r="395" spans="1:37" s="2" customFormat="1">
      <c r="A395" s="39"/>
      <c r="B395" s="39"/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  <c r="AC395" s="39"/>
      <c r="AD395" s="39"/>
      <c r="AE395" s="39"/>
      <c r="AF395" s="38"/>
      <c r="AG395" s="38"/>
      <c r="AH395" s="38"/>
      <c r="AI395" s="38"/>
      <c r="AJ395" s="38"/>
      <c r="AK395" s="38"/>
    </row>
    <row r="396" spans="1:37" s="2" customFormat="1">
      <c r="A396" s="39"/>
      <c r="B396" s="39"/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  <c r="AC396" s="39"/>
      <c r="AD396" s="39"/>
      <c r="AE396" s="39"/>
      <c r="AF396" s="38"/>
      <c r="AG396" s="38"/>
      <c r="AH396" s="38"/>
      <c r="AI396" s="38"/>
      <c r="AJ396" s="38"/>
      <c r="AK396" s="38"/>
    </row>
    <row r="397" spans="1:37" s="2" customFormat="1">
      <c r="A397" s="39"/>
      <c r="B397" s="39"/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  <c r="AC397" s="39"/>
      <c r="AD397" s="39"/>
      <c r="AE397" s="39"/>
      <c r="AF397" s="38"/>
      <c r="AG397" s="38"/>
      <c r="AH397" s="38"/>
      <c r="AI397" s="38"/>
      <c r="AJ397" s="38"/>
      <c r="AK397" s="38"/>
    </row>
    <row r="398" spans="1:37" s="2" customFormat="1">
      <c r="A398" s="39"/>
      <c r="B398" s="39"/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  <c r="AC398" s="39"/>
      <c r="AD398" s="39"/>
      <c r="AE398" s="39"/>
      <c r="AF398" s="38"/>
      <c r="AG398" s="38"/>
      <c r="AH398" s="38"/>
      <c r="AI398" s="38"/>
      <c r="AJ398" s="38"/>
      <c r="AK398" s="38"/>
    </row>
    <row r="399" spans="1:37" s="2" customFormat="1">
      <c r="A399" s="39"/>
      <c r="B399" s="39"/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  <c r="AC399" s="39"/>
      <c r="AD399" s="39"/>
      <c r="AE399" s="39"/>
      <c r="AF399" s="38"/>
      <c r="AG399" s="38"/>
      <c r="AH399" s="38"/>
      <c r="AI399" s="38"/>
      <c r="AJ399" s="38"/>
      <c r="AK399" s="38"/>
    </row>
    <row r="400" spans="1:37" s="2" customFormat="1">
      <c r="A400" s="39"/>
      <c r="B400" s="39"/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  <c r="AC400" s="39"/>
      <c r="AD400" s="39"/>
      <c r="AE400" s="39"/>
      <c r="AF400" s="38"/>
      <c r="AG400" s="38"/>
      <c r="AH400" s="38"/>
      <c r="AI400" s="38"/>
      <c r="AJ400" s="38"/>
      <c r="AK400" s="38"/>
    </row>
    <row r="401" spans="1:37" s="2" customFormat="1">
      <c r="A401" s="39"/>
      <c r="B401" s="39"/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D401" s="39"/>
      <c r="AE401" s="39"/>
      <c r="AF401" s="38"/>
      <c r="AG401" s="38"/>
      <c r="AH401" s="38"/>
      <c r="AI401" s="38"/>
      <c r="AJ401" s="38"/>
      <c r="AK401" s="38"/>
    </row>
    <row r="402" spans="1:37" s="2" customFormat="1">
      <c r="A402" s="39"/>
      <c r="B402" s="39"/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  <c r="AA402" s="39"/>
      <c r="AB402" s="39"/>
      <c r="AC402" s="39"/>
      <c r="AD402" s="39"/>
      <c r="AE402" s="39"/>
      <c r="AF402" s="38"/>
      <c r="AG402" s="38"/>
      <c r="AH402" s="38"/>
      <c r="AI402" s="38"/>
      <c r="AJ402" s="38"/>
      <c r="AK402" s="38"/>
    </row>
    <row r="403" spans="1:37" s="2" customFormat="1">
      <c r="A403" s="39"/>
      <c r="B403" s="39"/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  <c r="AA403" s="39"/>
      <c r="AB403" s="39"/>
      <c r="AC403" s="39"/>
      <c r="AD403" s="39"/>
      <c r="AE403" s="39"/>
      <c r="AF403" s="38"/>
      <c r="AG403" s="38"/>
      <c r="AH403" s="38"/>
      <c r="AI403" s="38"/>
      <c r="AJ403" s="38"/>
      <c r="AK403" s="38"/>
    </row>
    <row r="404" spans="1:37" s="2" customFormat="1">
      <c r="A404" s="39"/>
      <c r="B404" s="39"/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39"/>
      <c r="Z404" s="39"/>
      <c r="AA404" s="39"/>
      <c r="AB404" s="39"/>
      <c r="AC404" s="39"/>
      <c r="AD404" s="39"/>
      <c r="AE404" s="39"/>
      <c r="AF404" s="38"/>
      <c r="AG404" s="38"/>
      <c r="AH404" s="38"/>
      <c r="AI404" s="38"/>
      <c r="AJ404" s="38"/>
      <c r="AK404" s="38"/>
    </row>
    <row r="405" spans="1:37" s="2" customFormat="1">
      <c r="A405" s="39"/>
      <c r="B405" s="39"/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39"/>
      <c r="Q405" s="39"/>
      <c r="R405" s="39"/>
      <c r="S405" s="39"/>
      <c r="T405" s="39"/>
      <c r="U405" s="39"/>
      <c r="V405" s="39"/>
      <c r="W405" s="39"/>
      <c r="X405" s="39"/>
      <c r="Y405" s="39"/>
      <c r="Z405" s="39"/>
      <c r="AA405" s="39"/>
      <c r="AB405" s="39"/>
      <c r="AC405" s="39"/>
      <c r="AD405" s="39"/>
      <c r="AE405" s="39"/>
      <c r="AF405" s="38"/>
      <c r="AG405" s="38"/>
      <c r="AH405" s="38"/>
      <c r="AI405" s="38"/>
      <c r="AJ405" s="38"/>
      <c r="AK405" s="38"/>
    </row>
    <row r="406" spans="1:37" s="2" customFormat="1">
      <c r="A406" s="39"/>
      <c r="B406" s="39"/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9"/>
      <c r="X406" s="39"/>
      <c r="Y406" s="39"/>
      <c r="Z406" s="39"/>
      <c r="AA406" s="39"/>
      <c r="AB406" s="39"/>
      <c r="AC406" s="39"/>
      <c r="AD406" s="39"/>
      <c r="AE406" s="39"/>
      <c r="AF406" s="38"/>
      <c r="AG406" s="38"/>
      <c r="AH406" s="38"/>
      <c r="AI406" s="38"/>
      <c r="AJ406" s="38"/>
      <c r="AK406" s="38"/>
    </row>
    <row r="407" spans="1:37" s="2" customFormat="1">
      <c r="A407" s="39"/>
      <c r="B407" s="39"/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  <c r="AA407" s="39"/>
      <c r="AB407" s="39"/>
      <c r="AC407" s="39"/>
      <c r="AD407" s="39"/>
      <c r="AE407" s="39"/>
      <c r="AF407" s="38"/>
      <c r="AG407" s="38"/>
      <c r="AH407" s="38"/>
      <c r="AI407" s="38"/>
      <c r="AJ407" s="38"/>
      <c r="AK407" s="38"/>
    </row>
    <row r="408" spans="1:37" s="2" customFormat="1">
      <c r="A408" s="39"/>
      <c r="B408" s="39"/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9"/>
      <c r="X408" s="39"/>
      <c r="Y408" s="39"/>
      <c r="Z408" s="39"/>
      <c r="AA408" s="39"/>
      <c r="AB408" s="39"/>
      <c r="AC408" s="39"/>
      <c r="AD408" s="39"/>
      <c r="AE408" s="39"/>
      <c r="AF408" s="38"/>
      <c r="AG408" s="38"/>
      <c r="AH408" s="38"/>
      <c r="AI408" s="38"/>
      <c r="AJ408" s="38"/>
      <c r="AK408" s="38"/>
    </row>
    <row r="409" spans="1:37" s="2" customFormat="1">
      <c r="A409" s="39"/>
      <c r="B409" s="39"/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39"/>
      <c r="Q409" s="39"/>
      <c r="R409" s="39"/>
      <c r="S409" s="39"/>
      <c r="T409" s="39"/>
      <c r="U409" s="39"/>
      <c r="V409" s="39"/>
      <c r="W409" s="39"/>
      <c r="X409" s="39"/>
      <c r="Y409" s="39"/>
      <c r="Z409" s="39"/>
      <c r="AA409" s="39"/>
      <c r="AB409" s="39"/>
      <c r="AC409" s="39"/>
      <c r="AD409" s="39"/>
      <c r="AE409" s="39"/>
      <c r="AF409" s="38"/>
      <c r="AG409" s="38"/>
      <c r="AH409" s="38"/>
      <c r="AI409" s="38"/>
      <c r="AJ409" s="38"/>
      <c r="AK409" s="38"/>
    </row>
    <row r="410" spans="1:37" s="2" customFormat="1">
      <c r="A410" s="39"/>
      <c r="B410" s="39"/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  <c r="AC410" s="39"/>
      <c r="AD410" s="39"/>
      <c r="AE410" s="39"/>
      <c r="AF410" s="38"/>
      <c r="AG410" s="38"/>
      <c r="AH410" s="38"/>
      <c r="AI410" s="38"/>
      <c r="AJ410" s="38"/>
      <c r="AK410" s="38"/>
    </row>
    <row r="411" spans="1:37" s="2" customFormat="1">
      <c r="A411" s="39"/>
      <c r="B411" s="39"/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  <c r="AC411" s="39"/>
      <c r="AD411" s="39"/>
      <c r="AE411" s="39"/>
      <c r="AF411" s="38"/>
      <c r="AG411" s="38"/>
      <c r="AH411" s="38"/>
      <c r="AI411" s="38"/>
      <c r="AJ411" s="38"/>
      <c r="AK411" s="38"/>
    </row>
    <row r="412" spans="1:37" s="2" customFormat="1">
      <c r="A412" s="39"/>
      <c r="B412" s="39"/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  <c r="AC412" s="39"/>
      <c r="AD412" s="39"/>
      <c r="AE412" s="39"/>
      <c r="AF412" s="38"/>
      <c r="AG412" s="38"/>
      <c r="AH412" s="38"/>
      <c r="AI412" s="38"/>
      <c r="AJ412" s="38"/>
      <c r="AK412" s="38"/>
    </row>
    <row r="413" spans="1:37" s="2" customFormat="1">
      <c r="A413" s="39"/>
      <c r="B413" s="39"/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  <c r="AC413" s="39"/>
      <c r="AD413" s="39"/>
      <c r="AE413" s="39"/>
      <c r="AF413" s="38"/>
      <c r="AG413" s="38"/>
      <c r="AH413" s="38"/>
      <c r="AI413" s="38"/>
      <c r="AJ413" s="38"/>
      <c r="AK413" s="38"/>
    </row>
    <row r="414" spans="1:37" s="2" customFormat="1">
      <c r="A414" s="39"/>
      <c r="B414" s="39"/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  <c r="AC414" s="39"/>
      <c r="AD414" s="39"/>
      <c r="AE414" s="39"/>
      <c r="AF414" s="38"/>
      <c r="AG414" s="38"/>
      <c r="AH414" s="38"/>
      <c r="AI414" s="38"/>
      <c r="AJ414" s="38"/>
      <c r="AK414" s="38"/>
    </row>
    <row r="415" spans="1:37" s="2" customFormat="1">
      <c r="A415" s="39"/>
      <c r="B415" s="39"/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  <c r="AC415" s="39"/>
      <c r="AD415" s="39"/>
      <c r="AE415" s="39"/>
      <c r="AF415" s="38"/>
      <c r="AG415" s="38"/>
      <c r="AH415" s="38"/>
      <c r="AI415" s="38"/>
      <c r="AJ415" s="38"/>
      <c r="AK415" s="38"/>
    </row>
    <row r="416" spans="1:37" s="2" customFormat="1">
      <c r="A416" s="39"/>
      <c r="B416" s="39"/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D416" s="39"/>
      <c r="AE416" s="39"/>
      <c r="AF416" s="38"/>
      <c r="AG416" s="38"/>
      <c r="AH416" s="38"/>
      <c r="AI416" s="38"/>
      <c r="AJ416" s="38"/>
      <c r="AK416" s="38"/>
    </row>
    <row r="417" spans="1:37" s="2" customFormat="1">
      <c r="A417" s="39"/>
      <c r="B417" s="39"/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  <c r="AC417" s="39"/>
      <c r="AD417" s="39"/>
      <c r="AE417" s="39"/>
      <c r="AF417" s="38"/>
      <c r="AG417" s="38"/>
      <c r="AH417" s="38"/>
      <c r="AI417" s="38"/>
      <c r="AJ417" s="38"/>
      <c r="AK417" s="38"/>
    </row>
    <row r="418" spans="1:37" s="2" customFormat="1">
      <c r="A418" s="39"/>
      <c r="B418" s="39"/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9"/>
      <c r="X418" s="39"/>
      <c r="Y418" s="39"/>
      <c r="Z418" s="39"/>
      <c r="AA418" s="39"/>
      <c r="AB418" s="39"/>
      <c r="AC418" s="39"/>
      <c r="AD418" s="39"/>
      <c r="AE418" s="39"/>
      <c r="AF418" s="38"/>
      <c r="AG418" s="38"/>
      <c r="AH418" s="38"/>
      <c r="AI418" s="38"/>
      <c r="AJ418" s="38"/>
      <c r="AK418" s="38"/>
    </row>
    <row r="419" spans="1:37" s="2" customFormat="1">
      <c r="A419" s="39"/>
      <c r="B419" s="39"/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39"/>
      <c r="Q419" s="39"/>
      <c r="R419" s="39"/>
      <c r="S419" s="39"/>
      <c r="T419" s="39"/>
      <c r="U419" s="39"/>
      <c r="V419" s="39"/>
      <c r="W419" s="39"/>
      <c r="X419" s="39"/>
      <c r="Y419" s="39"/>
      <c r="Z419" s="39"/>
      <c r="AA419" s="39"/>
      <c r="AB419" s="39"/>
      <c r="AC419" s="39"/>
      <c r="AD419" s="39"/>
      <c r="AE419" s="39"/>
      <c r="AF419" s="38"/>
      <c r="AG419" s="38"/>
      <c r="AH419" s="38"/>
      <c r="AI419" s="38"/>
      <c r="AJ419" s="38"/>
      <c r="AK419" s="38"/>
    </row>
    <row r="420" spans="1:37" s="2" customFormat="1">
      <c r="A420" s="39"/>
      <c r="B420" s="39"/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9"/>
      <c r="X420" s="39"/>
      <c r="Y420" s="39"/>
      <c r="Z420" s="39"/>
      <c r="AA420" s="39"/>
      <c r="AB420" s="39"/>
      <c r="AC420" s="39"/>
      <c r="AD420" s="39"/>
      <c r="AE420" s="39"/>
      <c r="AF420" s="38"/>
      <c r="AG420" s="38"/>
      <c r="AH420" s="38"/>
      <c r="AI420" s="38"/>
      <c r="AJ420" s="38"/>
      <c r="AK420" s="38"/>
    </row>
    <row r="421" spans="1:37" s="2" customFormat="1">
      <c r="A421" s="39"/>
      <c r="B421" s="39"/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  <c r="AA421" s="39"/>
      <c r="AB421" s="39"/>
      <c r="AC421" s="39"/>
      <c r="AD421" s="39"/>
      <c r="AE421" s="39"/>
      <c r="AF421" s="38"/>
      <c r="AG421" s="38"/>
      <c r="AH421" s="38"/>
      <c r="AI421" s="38"/>
      <c r="AJ421" s="38"/>
      <c r="AK421" s="38"/>
    </row>
    <row r="422" spans="1:37" s="2" customFormat="1">
      <c r="A422" s="39"/>
      <c r="B422" s="39"/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  <c r="AA422" s="39"/>
      <c r="AB422" s="39"/>
      <c r="AC422" s="39"/>
      <c r="AD422" s="39"/>
      <c r="AE422" s="39"/>
      <c r="AF422" s="38"/>
      <c r="AG422" s="38"/>
      <c r="AH422" s="38"/>
      <c r="AI422" s="38"/>
      <c r="AJ422" s="38"/>
      <c r="AK422" s="38"/>
    </row>
    <row r="423" spans="1:37" s="2" customFormat="1">
      <c r="A423" s="39"/>
      <c r="B423" s="39"/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39"/>
      <c r="Q423" s="39"/>
      <c r="R423" s="39"/>
      <c r="S423" s="39"/>
      <c r="T423" s="39"/>
      <c r="U423" s="39"/>
      <c r="V423" s="39"/>
      <c r="W423" s="39"/>
      <c r="X423" s="39"/>
      <c r="Y423" s="39"/>
      <c r="Z423" s="39"/>
      <c r="AA423" s="39"/>
      <c r="AB423" s="39"/>
      <c r="AC423" s="39"/>
      <c r="AD423" s="39"/>
      <c r="AE423" s="39"/>
      <c r="AF423" s="38"/>
      <c r="AG423" s="38"/>
      <c r="AH423" s="38"/>
      <c r="AI423" s="38"/>
      <c r="AJ423" s="38"/>
      <c r="AK423" s="38"/>
    </row>
    <row r="424" spans="1:37" s="2" customFormat="1">
      <c r="A424" s="39"/>
      <c r="B424" s="39"/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39"/>
      <c r="Z424" s="39"/>
      <c r="AA424" s="39"/>
      <c r="AB424" s="39"/>
      <c r="AC424" s="39"/>
      <c r="AD424" s="39"/>
      <c r="AE424" s="39"/>
      <c r="AF424" s="38"/>
      <c r="AG424" s="38"/>
      <c r="AH424" s="38"/>
      <c r="AI424" s="38"/>
      <c r="AJ424" s="38"/>
      <c r="AK424" s="38"/>
    </row>
    <row r="425" spans="1:37" s="2" customFormat="1">
      <c r="A425" s="39"/>
      <c r="B425" s="39"/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39"/>
      <c r="Q425" s="39"/>
      <c r="R425" s="39"/>
      <c r="S425" s="39"/>
      <c r="T425" s="39"/>
      <c r="U425" s="39"/>
      <c r="V425" s="39"/>
      <c r="W425" s="39"/>
      <c r="X425" s="39"/>
      <c r="Y425" s="39"/>
      <c r="Z425" s="39"/>
      <c r="AA425" s="39"/>
      <c r="AB425" s="39"/>
      <c r="AC425" s="39"/>
      <c r="AD425" s="39"/>
      <c r="AE425" s="39"/>
      <c r="AF425" s="38"/>
      <c r="AG425" s="38"/>
      <c r="AH425" s="38"/>
      <c r="AI425" s="38"/>
      <c r="AJ425" s="38"/>
      <c r="AK425" s="38"/>
    </row>
    <row r="426" spans="1:37" s="2" customFormat="1">
      <c r="A426" s="39"/>
      <c r="B426" s="39"/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  <c r="AA426" s="39"/>
      <c r="AB426" s="39"/>
      <c r="AC426" s="39"/>
      <c r="AD426" s="39"/>
      <c r="AE426" s="39"/>
      <c r="AF426" s="38"/>
      <c r="AG426" s="38"/>
      <c r="AH426" s="38"/>
      <c r="AI426" s="38"/>
      <c r="AJ426" s="38"/>
      <c r="AK426" s="38"/>
    </row>
    <row r="427" spans="1:37" s="2" customFormat="1">
      <c r="A427" s="39"/>
      <c r="B427" s="39"/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39"/>
      <c r="Z427" s="39"/>
      <c r="AA427" s="39"/>
      <c r="AB427" s="39"/>
      <c r="AC427" s="39"/>
      <c r="AD427" s="39"/>
      <c r="AE427" s="39"/>
      <c r="AF427" s="38"/>
      <c r="AG427" s="38"/>
      <c r="AH427" s="38"/>
      <c r="AI427" s="38"/>
      <c r="AJ427" s="38"/>
      <c r="AK427" s="38"/>
    </row>
    <row r="428" spans="1:37" s="2" customFormat="1">
      <c r="A428" s="39"/>
      <c r="B428" s="39"/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  <c r="T428" s="39"/>
      <c r="U428" s="39"/>
      <c r="V428" s="39"/>
      <c r="W428" s="39"/>
      <c r="X428" s="39"/>
      <c r="Y428" s="39"/>
      <c r="Z428" s="39"/>
      <c r="AA428" s="39"/>
      <c r="AB428" s="39"/>
      <c r="AC428" s="39"/>
      <c r="AD428" s="39"/>
      <c r="AE428" s="39"/>
      <c r="AF428" s="38"/>
      <c r="AG428" s="38"/>
      <c r="AH428" s="38"/>
      <c r="AI428" s="38"/>
      <c r="AJ428" s="38"/>
      <c r="AK428" s="38"/>
    </row>
    <row r="429" spans="1:37" s="2" customFormat="1">
      <c r="A429" s="39"/>
      <c r="B429" s="39"/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39"/>
      <c r="Q429" s="39"/>
      <c r="R429" s="39"/>
      <c r="S429" s="39"/>
      <c r="T429" s="39"/>
      <c r="U429" s="39"/>
      <c r="V429" s="39"/>
      <c r="W429" s="39"/>
      <c r="X429" s="39"/>
      <c r="Y429" s="39"/>
      <c r="Z429" s="39"/>
      <c r="AA429" s="39"/>
      <c r="AB429" s="39"/>
      <c r="AC429" s="39"/>
      <c r="AD429" s="39"/>
      <c r="AE429" s="39"/>
      <c r="AF429" s="38"/>
      <c r="AG429" s="38"/>
      <c r="AH429" s="38"/>
      <c r="AI429" s="38"/>
      <c r="AJ429" s="38"/>
      <c r="AK429" s="38"/>
    </row>
    <row r="430" spans="1:37" s="2" customFormat="1">
      <c r="A430" s="39"/>
      <c r="B430" s="39"/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  <c r="T430" s="39"/>
      <c r="U430" s="39"/>
      <c r="V430" s="39"/>
      <c r="W430" s="39"/>
      <c r="X430" s="39"/>
      <c r="Y430" s="39"/>
      <c r="Z430" s="39"/>
      <c r="AA430" s="39"/>
      <c r="AB430" s="39"/>
      <c r="AC430" s="39"/>
      <c r="AD430" s="39"/>
      <c r="AE430" s="39"/>
      <c r="AF430" s="38"/>
      <c r="AG430" s="38"/>
      <c r="AH430" s="38"/>
      <c r="AI430" s="38"/>
      <c r="AJ430" s="38"/>
      <c r="AK430" s="38"/>
    </row>
    <row r="431" spans="1:37" s="2" customFormat="1">
      <c r="A431" s="39"/>
      <c r="B431" s="39"/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39"/>
      <c r="Q431" s="39"/>
      <c r="R431" s="39"/>
      <c r="S431" s="39"/>
      <c r="T431" s="39"/>
      <c r="U431" s="39"/>
      <c r="V431" s="39"/>
      <c r="W431" s="39"/>
      <c r="X431" s="39"/>
      <c r="Y431" s="39"/>
      <c r="Z431" s="39"/>
      <c r="AA431" s="39"/>
      <c r="AB431" s="39"/>
      <c r="AC431" s="39"/>
      <c r="AD431" s="39"/>
      <c r="AE431" s="39"/>
      <c r="AF431" s="38"/>
      <c r="AG431" s="38"/>
      <c r="AH431" s="38"/>
      <c r="AI431" s="38"/>
      <c r="AJ431" s="38"/>
      <c r="AK431" s="38"/>
    </row>
    <row r="432" spans="1:37" s="2" customFormat="1">
      <c r="A432" s="39"/>
      <c r="B432" s="39"/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  <c r="T432" s="39"/>
      <c r="U432" s="39"/>
      <c r="V432" s="39"/>
      <c r="W432" s="39"/>
      <c r="X432" s="39"/>
      <c r="Y432" s="39"/>
      <c r="Z432" s="39"/>
      <c r="AA432" s="39"/>
      <c r="AB432" s="39"/>
      <c r="AC432" s="39"/>
      <c r="AD432" s="39"/>
      <c r="AE432" s="39"/>
      <c r="AF432" s="38"/>
      <c r="AG432" s="38"/>
      <c r="AH432" s="38"/>
      <c r="AI432" s="38"/>
      <c r="AJ432" s="38"/>
      <c r="AK432" s="38"/>
    </row>
    <row r="433" spans="1:37" s="2" customFormat="1">
      <c r="A433" s="39"/>
      <c r="B433" s="39"/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39"/>
      <c r="Q433" s="39"/>
      <c r="R433" s="39"/>
      <c r="S433" s="39"/>
      <c r="T433" s="39"/>
      <c r="U433" s="39"/>
      <c r="V433" s="39"/>
      <c r="W433" s="39"/>
      <c r="X433" s="39"/>
      <c r="Y433" s="39"/>
      <c r="Z433" s="39"/>
      <c r="AA433" s="39"/>
      <c r="AB433" s="39"/>
      <c r="AC433" s="39"/>
      <c r="AD433" s="39"/>
      <c r="AE433" s="39"/>
      <c r="AF433" s="38"/>
      <c r="AG433" s="38"/>
      <c r="AH433" s="38"/>
      <c r="AI433" s="38"/>
      <c r="AJ433" s="38"/>
      <c r="AK433" s="38"/>
    </row>
    <row r="434" spans="1:37" s="2" customFormat="1">
      <c r="A434" s="39"/>
      <c r="B434" s="39"/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  <c r="T434" s="39"/>
      <c r="U434" s="39"/>
      <c r="V434" s="39"/>
      <c r="W434" s="39"/>
      <c r="X434" s="39"/>
      <c r="Y434" s="39"/>
      <c r="Z434" s="39"/>
      <c r="AA434" s="39"/>
      <c r="AB434" s="39"/>
      <c r="AC434" s="39"/>
      <c r="AD434" s="39"/>
      <c r="AE434" s="39"/>
      <c r="AF434" s="38"/>
      <c r="AG434" s="38"/>
      <c r="AH434" s="38"/>
      <c r="AI434" s="38"/>
      <c r="AJ434" s="38"/>
      <c r="AK434" s="38"/>
    </row>
    <row r="435" spans="1:37" s="2" customFormat="1">
      <c r="A435" s="39"/>
      <c r="B435" s="39"/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39"/>
      <c r="Q435" s="39"/>
      <c r="R435" s="39"/>
      <c r="S435" s="39"/>
      <c r="T435" s="39"/>
      <c r="U435" s="39"/>
      <c r="V435" s="39"/>
      <c r="W435" s="39"/>
      <c r="X435" s="39"/>
      <c r="Y435" s="39"/>
      <c r="Z435" s="39"/>
      <c r="AA435" s="39"/>
      <c r="AB435" s="39"/>
      <c r="AC435" s="39"/>
      <c r="AD435" s="39"/>
      <c r="AE435" s="39"/>
      <c r="AF435" s="38"/>
      <c r="AG435" s="38"/>
      <c r="AH435" s="38"/>
      <c r="AI435" s="38"/>
      <c r="AJ435" s="38"/>
      <c r="AK435" s="38"/>
    </row>
    <row r="436" spans="1:37" s="2" customFormat="1">
      <c r="A436" s="39"/>
      <c r="B436" s="39"/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  <c r="T436" s="39"/>
      <c r="U436" s="39"/>
      <c r="V436" s="39"/>
      <c r="W436" s="39"/>
      <c r="X436" s="39"/>
      <c r="Y436" s="39"/>
      <c r="Z436" s="39"/>
      <c r="AA436" s="39"/>
      <c r="AB436" s="39"/>
      <c r="AC436" s="39"/>
      <c r="AD436" s="39"/>
      <c r="AE436" s="39"/>
      <c r="AF436" s="38"/>
      <c r="AG436" s="38"/>
      <c r="AH436" s="38"/>
      <c r="AI436" s="38"/>
      <c r="AJ436" s="38"/>
      <c r="AK436" s="38"/>
    </row>
    <row r="437" spans="1:37" s="2" customFormat="1">
      <c r="A437" s="39"/>
      <c r="B437" s="39"/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39"/>
      <c r="Q437" s="39"/>
      <c r="R437" s="39"/>
      <c r="S437" s="39"/>
      <c r="T437" s="39"/>
      <c r="U437" s="39"/>
      <c r="V437" s="39"/>
      <c r="W437" s="39"/>
      <c r="X437" s="39"/>
      <c r="Y437" s="39"/>
      <c r="Z437" s="39"/>
      <c r="AA437" s="39"/>
      <c r="AB437" s="39"/>
      <c r="AC437" s="39"/>
      <c r="AD437" s="39"/>
      <c r="AE437" s="39"/>
      <c r="AF437" s="38"/>
      <c r="AG437" s="38"/>
      <c r="AH437" s="38"/>
      <c r="AI437" s="38"/>
      <c r="AJ437" s="38"/>
      <c r="AK437" s="38"/>
    </row>
    <row r="438" spans="1:37" s="2" customFormat="1">
      <c r="A438" s="39"/>
      <c r="B438" s="39"/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  <c r="T438" s="39"/>
      <c r="U438" s="39"/>
      <c r="V438" s="39"/>
      <c r="W438" s="39"/>
      <c r="X438" s="39"/>
      <c r="Y438" s="39"/>
      <c r="Z438" s="39"/>
      <c r="AA438" s="39"/>
      <c r="AB438" s="39"/>
      <c r="AC438" s="39"/>
      <c r="AD438" s="39"/>
      <c r="AE438" s="39"/>
      <c r="AF438" s="38"/>
      <c r="AG438" s="38"/>
      <c r="AH438" s="38"/>
      <c r="AI438" s="38"/>
      <c r="AJ438" s="38"/>
      <c r="AK438" s="38"/>
    </row>
    <row r="439" spans="1:37" s="2" customFormat="1">
      <c r="A439" s="39"/>
      <c r="B439" s="39"/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39"/>
      <c r="Q439" s="39"/>
      <c r="R439" s="39"/>
      <c r="S439" s="39"/>
      <c r="T439" s="39"/>
      <c r="U439" s="39"/>
      <c r="V439" s="39"/>
      <c r="W439" s="39"/>
      <c r="X439" s="39"/>
      <c r="Y439" s="39"/>
      <c r="Z439" s="39"/>
      <c r="AA439" s="39"/>
      <c r="AB439" s="39"/>
      <c r="AC439" s="39"/>
      <c r="AD439" s="39"/>
      <c r="AE439" s="39"/>
      <c r="AF439" s="38"/>
      <c r="AG439" s="38"/>
      <c r="AH439" s="38"/>
      <c r="AI439" s="38"/>
      <c r="AJ439" s="38"/>
      <c r="AK439" s="38"/>
    </row>
    <row r="440" spans="1:37" s="2" customFormat="1">
      <c r="A440" s="39"/>
      <c r="B440" s="39"/>
      <c r="C440" s="39"/>
      <c r="D440" s="39"/>
      <c r="E440" s="39"/>
      <c r="F440" s="39"/>
      <c r="G440" s="39"/>
      <c r="H440" s="39"/>
      <c r="I440" s="39"/>
      <c r="J440" s="39"/>
      <c r="K440" s="39"/>
      <c r="L440" s="38"/>
      <c r="M440" s="38"/>
      <c r="N440" s="38"/>
      <c r="O440" s="38"/>
      <c r="P440" s="38"/>
      <c r="Q440" s="38"/>
      <c r="R440" s="38"/>
      <c r="S440" s="3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I440" s="38"/>
      <c r="AJ440" s="38"/>
      <c r="AK440" s="38"/>
    </row>
    <row r="441" spans="1:37" s="2" customFormat="1">
      <c r="A441" s="39"/>
      <c r="B441" s="39"/>
      <c r="C441" s="39"/>
      <c r="D441" s="39"/>
      <c r="E441" s="39"/>
      <c r="F441" s="39"/>
      <c r="G441" s="39"/>
      <c r="H441" s="39"/>
      <c r="I441" s="39"/>
      <c r="J441" s="39"/>
      <c r="K441" s="39"/>
      <c r="L441" s="38"/>
      <c r="M441" s="38"/>
      <c r="N441" s="38"/>
      <c r="O441" s="38"/>
      <c r="P441" s="38"/>
      <c r="Q441" s="38"/>
      <c r="R441" s="38"/>
      <c r="S441" s="3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I441" s="38"/>
      <c r="AJ441" s="38"/>
      <c r="AK441" s="38"/>
    </row>
    <row r="442" spans="1:37" s="2" customFormat="1">
      <c r="A442" s="39"/>
      <c r="B442" s="39"/>
      <c r="C442" s="39"/>
      <c r="D442" s="39"/>
      <c r="E442" s="39"/>
      <c r="F442" s="39"/>
      <c r="G442" s="39"/>
      <c r="H442" s="39"/>
      <c r="I442" s="39"/>
      <c r="J442" s="39"/>
      <c r="K442" s="39"/>
      <c r="L442" s="38"/>
      <c r="M442" s="38"/>
      <c r="N442" s="38"/>
      <c r="O442" s="38"/>
      <c r="P442" s="38"/>
      <c r="Q442" s="38"/>
      <c r="R442" s="38"/>
      <c r="S442" s="3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  <c r="AG442" s="38"/>
      <c r="AH442" s="38"/>
      <c r="AI442" s="38"/>
      <c r="AJ442" s="38"/>
      <c r="AK442" s="38"/>
    </row>
    <row r="443" spans="1:37" s="2" customFormat="1">
      <c r="A443" s="39"/>
      <c r="B443" s="39"/>
      <c r="C443" s="39"/>
      <c r="D443" s="39"/>
      <c r="E443" s="39"/>
      <c r="F443" s="39"/>
      <c r="G443" s="39"/>
      <c r="H443" s="39"/>
      <c r="I443" s="39"/>
      <c r="J443" s="39"/>
      <c r="K443" s="39"/>
      <c r="L443" s="38"/>
      <c r="M443" s="38"/>
      <c r="N443" s="38"/>
      <c r="O443" s="38"/>
      <c r="P443" s="38"/>
      <c r="Q443" s="38"/>
      <c r="R443" s="38"/>
      <c r="S443" s="3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I443" s="38"/>
      <c r="AJ443" s="38"/>
      <c r="AK443" s="38"/>
    </row>
    <row r="444" spans="1:37" s="2" customFormat="1">
      <c r="A444" s="39"/>
      <c r="B444" s="39"/>
      <c r="C444" s="39"/>
      <c r="D444" s="39"/>
      <c r="E444" s="39"/>
      <c r="F444" s="39"/>
      <c r="G444" s="39"/>
      <c r="H444" s="39"/>
      <c r="I444" s="39"/>
      <c r="J444" s="39"/>
      <c r="K444" s="39"/>
      <c r="L444" s="38"/>
      <c r="M444" s="38"/>
      <c r="N444" s="38"/>
      <c r="O444" s="38"/>
      <c r="P444" s="38"/>
      <c r="Q444" s="38"/>
      <c r="R444" s="38"/>
      <c r="S444" s="3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I444" s="38"/>
      <c r="AJ444" s="38"/>
      <c r="AK444" s="38"/>
    </row>
    <row r="445" spans="1:37" s="2" customFormat="1">
      <c r="A445" s="39"/>
      <c r="B445" s="39"/>
      <c r="C445" s="39"/>
      <c r="D445" s="39"/>
      <c r="E445" s="39"/>
      <c r="F445" s="39"/>
      <c r="G445" s="39"/>
      <c r="H445" s="39"/>
      <c r="I445" s="39"/>
      <c r="J445" s="39"/>
      <c r="K445" s="39"/>
      <c r="L445" s="38"/>
      <c r="M445" s="38"/>
      <c r="N445" s="38"/>
      <c r="O445" s="38"/>
      <c r="P445" s="38"/>
      <c r="Q445" s="38"/>
      <c r="R445" s="38"/>
      <c r="S445" s="3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  <c r="AG445" s="38"/>
      <c r="AH445" s="38"/>
      <c r="AI445" s="38"/>
      <c r="AJ445" s="38"/>
      <c r="AK445" s="38"/>
    </row>
    <row r="446" spans="1:37" s="2" customFormat="1">
      <c r="A446" s="39"/>
      <c r="B446" s="39"/>
      <c r="C446" s="39"/>
      <c r="D446" s="39"/>
      <c r="E446" s="39"/>
      <c r="F446" s="39"/>
      <c r="G446" s="39"/>
      <c r="H446" s="39"/>
      <c r="I446" s="39"/>
      <c r="J446" s="39"/>
      <c r="K446" s="39"/>
      <c r="L446" s="38"/>
      <c r="M446" s="38"/>
      <c r="N446" s="38"/>
      <c r="O446" s="38"/>
      <c r="P446" s="38"/>
      <c r="Q446" s="38"/>
      <c r="R446" s="38"/>
      <c r="S446" s="3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  <c r="AG446" s="38"/>
      <c r="AH446" s="38"/>
      <c r="AI446" s="38"/>
      <c r="AJ446" s="38"/>
      <c r="AK446" s="38"/>
    </row>
    <row r="447" spans="1:37" s="2" customFormat="1">
      <c r="A447" s="39"/>
      <c r="B447" s="39"/>
      <c r="C447" s="39"/>
      <c r="D447" s="39"/>
      <c r="E447" s="39"/>
      <c r="F447" s="39"/>
      <c r="G447" s="39"/>
      <c r="H447" s="39"/>
      <c r="I447" s="39"/>
      <c r="J447" s="39"/>
      <c r="K447" s="39"/>
      <c r="L447" s="38"/>
      <c r="M447" s="38"/>
      <c r="N447" s="38"/>
      <c r="O447" s="38"/>
      <c r="P447" s="38"/>
      <c r="Q447" s="38"/>
      <c r="R447" s="38"/>
      <c r="S447" s="3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I447" s="38"/>
      <c r="AJ447" s="38"/>
      <c r="AK447" s="38"/>
    </row>
    <row r="448" spans="1:37" s="2" customFormat="1">
      <c r="A448" s="39"/>
      <c r="B448" s="39"/>
      <c r="C448" s="39"/>
      <c r="D448" s="39"/>
      <c r="E448" s="39"/>
      <c r="F448" s="39"/>
      <c r="G448" s="39"/>
      <c r="H448" s="39"/>
      <c r="I448" s="39"/>
      <c r="J448" s="39"/>
      <c r="K448" s="39"/>
      <c r="L448" s="38"/>
      <c r="M448" s="38"/>
      <c r="N448" s="38"/>
      <c r="O448" s="38"/>
      <c r="P448" s="38"/>
      <c r="Q448" s="38"/>
      <c r="R448" s="38"/>
      <c r="S448" s="3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D448" s="38"/>
      <c r="AE448" s="38"/>
      <c r="AF448" s="38"/>
      <c r="AG448" s="38"/>
      <c r="AH448" s="38"/>
      <c r="AI448" s="38"/>
      <c r="AJ448" s="38"/>
      <c r="AK448" s="38"/>
    </row>
    <row r="449" spans="1:37" s="2" customFormat="1">
      <c r="A449" s="39"/>
      <c r="B449" s="39"/>
      <c r="C449" s="39"/>
      <c r="D449" s="39"/>
      <c r="E449" s="39"/>
      <c r="F449" s="39"/>
      <c r="G449" s="39"/>
      <c r="H449" s="39"/>
      <c r="I449" s="39"/>
      <c r="J449" s="39"/>
      <c r="K449" s="39"/>
      <c r="L449" s="38"/>
      <c r="M449" s="38"/>
      <c r="N449" s="38"/>
      <c r="O449" s="38"/>
      <c r="P449" s="38"/>
      <c r="Q449" s="38"/>
      <c r="R449" s="38"/>
      <c r="S449" s="3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I449" s="38"/>
      <c r="AJ449" s="38"/>
      <c r="AK449" s="38"/>
    </row>
    <row r="450" spans="1:37" s="2" customFormat="1">
      <c r="A450" s="39"/>
      <c r="B450" s="39"/>
      <c r="C450" s="39"/>
      <c r="D450" s="39"/>
      <c r="E450" s="39"/>
      <c r="F450" s="39"/>
      <c r="G450" s="39"/>
      <c r="H450" s="39"/>
      <c r="I450" s="39"/>
      <c r="J450" s="39"/>
      <c r="K450" s="39"/>
      <c r="L450" s="38"/>
      <c r="M450" s="38"/>
      <c r="N450" s="38"/>
      <c r="O450" s="38"/>
      <c r="P450" s="38"/>
      <c r="Q450" s="38"/>
      <c r="R450" s="38"/>
      <c r="S450" s="3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I450" s="38"/>
      <c r="AJ450" s="38"/>
      <c r="AK450" s="38"/>
    </row>
    <row r="451" spans="1:37" s="2" customFormat="1">
      <c r="A451" s="39"/>
      <c r="B451" s="39"/>
      <c r="C451" s="39"/>
      <c r="D451" s="39"/>
      <c r="E451" s="39"/>
      <c r="F451" s="39"/>
      <c r="G451" s="39"/>
      <c r="H451" s="39"/>
      <c r="I451" s="39"/>
      <c r="J451" s="39"/>
      <c r="K451" s="39"/>
      <c r="L451" s="38"/>
      <c r="M451" s="38"/>
      <c r="N451" s="38"/>
      <c r="O451" s="38"/>
      <c r="P451" s="38"/>
      <c r="Q451" s="38"/>
      <c r="R451" s="38"/>
      <c r="S451" s="38"/>
      <c r="T451" s="38"/>
      <c r="U451" s="38"/>
      <c r="V451" s="38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  <c r="AG451" s="38"/>
      <c r="AH451" s="38"/>
      <c r="AI451" s="38"/>
      <c r="AJ451" s="38"/>
      <c r="AK451" s="38"/>
    </row>
    <row r="452" spans="1:37" s="2" customFormat="1">
      <c r="A452" s="39"/>
      <c r="B452" s="39"/>
      <c r="C452" s="39"/>
      <c r="D452" s="39"/>
      <c r="E452" s="39"/>
      <c r="F452" s="39"/>
      <c r="G452" s="39"/>
      <c r="H452" s="39"/>
      <c r="I452" s="39"/>
      <c r="J452" s="39"/>
      <c r="K452" s="39"/>
      <c r="L452" s="38"/>
      <c r="M452" s="38"/>
      <c r="N452" s="38"/>
      <c r="O452" s="38"/>
      <c r="P452" s="38"/>
      <c r="Q452" s="38"/>
      <c r="R452" s="38"/>
      <c r="S452" s="3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  <c r="AG452" s="38"/>
      <c r="AH452" s="38"/>
      <c r="AI452" s="38"/>
      <c r="AJ452" s="38"/>
      <c r="AK452" s="38"/>
    </row>
    <row r="453" spans="1:37" s="2" customFormat="1">
      <c r="A453" s="39"/>
      <c r="B453" s="39"/>
      <c r="C453" s="39"/>
      <c r="D453" s="39"/>
      <c r="E453" s="39"/>
      <c r="F453" s="39"/>
      <c r="G453" s="39"/>
      <c r="H453" s="39"/>
      <c r="I453" s="39"/>
      <c r="J453" s="39"/>
      <c r="K453" s="39"/>
      <c r="L453" s="38"/>
      <c r="M453" s="38"/>
      <c r="N453" s="38"/>
      <c r="O453" s="38"/>
      <c r="P453" s="38"/>
      <c r="Q453" s="38"/>
      <c r="R453" s="38"/>
      <c r="S453" s="38"/>
      <c r="T453" s="38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I453" s="38"/>
      <c r="AJ453" s="38"/>
      <c r="AK453" s="38"/>
    </row>
    <row r="454" spans="1:37" s="2" customFormat="1">
      <c r="A454" s="39"/>
      <c r="B454" s="39"/>
      <c r="C454" s="39"/>
      <c r="D454" s="39"/>
      <c r="E454" s="39"/>
      <c r="F454" s="39"/>
      <c r="G454" s="39"/>
      <c r="H454" s="39"/>
      <c r="I454" s="39"/>
      <c r="J454" s="39"/>
      <c r="K454" s="39"/>
      <c r="L454" s="38"/>
      <c r="M454" s="38"/>
      <c r="N454" s="38"/>
      <c r="O454" s="38"/>
      <c r="P454" s="38"/>
      <c r="Q454" s="38"/>
      <c r="R454" s="38"/>
      <c r="S454" s="3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  <c r="AG454" s="38"/>
      <c r="AH454" s="38"/>
      <c r="AI454" s="38"/>
      <c r="AJ454" s="38"/>
      <c r="AK454" s="38"/>
    </row>
    <row r="455" spans="1:37" s="2" customFormat="1">
      <c r="A455" s="39"/>
      <c r="B455" s="39"/>
      <c r="C455" s="39"/>
      <c r="D455" s="39"/>
      <c r="E455" s="39"/>
      <c r="F455" s="39"/>
      <c r="G455" s="39"/>
      <c r="H455" s="39"/>
      <c r="I455" s="39"/>
      <c r="J455" s="39"/>
      <c r="K455" s="39"/>
      <c r="L455" s="38"/>
      <c r="M455" s="38"/>
      <c r="N455" s="38"/>
      <c r="O455" s="38"/>
      <c r="P455" s="38"/>
      <c r="Q455" s="38"/>
      <c r="R455" s="38"/>
      <c r="S455" s="3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I455" s="38"/>
      <c r="AJ455" s="38"/>
      <c r="AK455" s="38"/>
    </row>
    <row r="456" spans="1:37" s="2" customFormat="1">
      <c r="A456" s="39"/>
      <c r="B456" s="39"/>
      <c r="C456" s="39"/>
      <c r="D456" s="39"/>
      <c r="E456" s="39"/>
      <c r="F456" s="39"/>
      <c r="G456" s="39"/>
      <c r="H456" s="39"/>
      <c r="I456" s="39"/>
      <c r="J456" s="39"/>
      <c r="K456" s="39"/>
      <c r="L456" s="38"/>
      <c r="M456" s="38"/>
      <c r="N456" s="38"/>
      <c r="O456" s="38"/>
      <c r="P456" s="38"/>
      <c r="Q456" s="38"/>
      <c r="R456" s="38"/>
      <c r="S456" s="3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I456" s="38"/>
      <c r="AJ456" s="38"/>
      <c r="AK456" s="38"/>
    </row>
    <row r="457" spans="1:37" s="2" customFormat="1">
      <c r="A457" s="39"/>
      <c r="B457" s="39"/>
      <c r="C457" s="39"/>
      <c r="D457" s="39"/>
      <c r="E457" s="39"/>
      <c r="F457" s="39"/>
      <c r="G457" s="39"/>
      <c r="H457" s="39"/>
      <c r="I457" s="39"/>
      <c r="J457" s="39"/>
      <c r="K457" s="39"/>
      <c r="L457" s="38"/>
      <c r="M457" s="38"/>
      <c r="N457" s="38"/>
      <c r="O457" s="38"/>
      <c r="P457" s="38"/>
      <c r="Q457" s="38"/>
      <c r="R457" s="38"/>
      <c r="S457" s="3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  <c r="AG457" s="38"/>
      <c r="AH457" s="38"/>
      <c r="AI457" s="38"/>
      <c r="AJ457" s="38"/>
      <c r="AK457" s="38"/>
    </row>
    <row r="458" spans="1:37" s="2" customFormat="1">
      <c r="A458" s="39"/>
      <c r="B458" s="39"/>
      <c r="C458" s="39"/>
      <c r="D458" s="39"/>
      <c r="E458" s="39"/>
      <c r="F458" s="39"/>
      <c r="G458" s="39"/>
      <c r="H458" s="39"/>
      <c r="I458" s="39"/>
      <c r="J458" s="39"/>
      <c r="K458" s="39"/>
      <c r="L458" s="38"/>
      <c r="M458" s="38"/>
      <c r="N458" s="38"/>
      <c r="O458" s="38"/>
      <c r="P458" s="38"/>
      <c r="Q458" s="38"/>
      <c r="R458" s="38"/>
      <c r="S458" s="3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  <c r="AG458" s="38"/>
      <c r="AH458" s="38"/>
      <c r="AI458" s="38"/>
      <c r="AJ458" s="38"/>
      <c r="AK458" s="38"/>
    </row>
    <row r="459" spans="1:37" s="2" customFormat="1">
      <c r="A459" s="39"/>
      <c r="B459" s="39"/>
      <c r="C459" s="39"/>
      <c r="D459" s="39"/>
      <c r="E459" s="39"/>
      <c r="F459" s="39"/>
      <c r="G459" s="39"/>
      <c r="H459" s="39"/>
      <c r="I459" s="39"/>
      <c r="J459" s="39"/>
      <c r="K459" s="39"/>
      <c r="L459" s="38"/>
      <c r="M459" s="38"/>
      <c r="N459" s="38"/>
      <c r="O459" s="38"/>
      <c r="P459" s="38"/>
      <c r="Q459" s="38"/>
      <c r="R459" s="38"/>
      <c r="S459" s="3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  <c r="AG459" s="38"/>
      <c r="AH459" s="38"/>
      <c r="AI459" s="38"/>
      <c r="AJ459" s="38"/>
      <c r="AK459" s="38"/>
    </row>
    <row r="460" spans="1:37" s="2" customFormat="1">
      <c r="A460" s="39"/>
      <c r="B460" s="39"/>
      <c r="C460" s="39"/>
      <c r="D460" s="39"/>
      <c r="E460" s="39"/>
      <c r="F460" s="39"/>
      <c r="G460" s="39"/>
      <c r="H460" s="39"/>
      <c r="I460" s="39"/>
      <c r="J460" s="39"/>
      <c r="K460" s="39"/>
      <c r="L460" s="38"/>
      <c r="M460" s="38"/>
      <c r="N460" s="38"/>
      <c r="O460" s="38"/>
      <c r="P460" s="38"/>
      <c r="Q460" s="38"/>
      <c r="R460" s="38"/>
      <c r="S460" s="38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D460" s="38"/>
      <c r="AE460" s="38"/>
      <c r="AF460" s="38"/>
      <c r="AG460" s="38"/>
      <c r="AH460" s="38"/>
      <c r="AI460" s="38"/>
      <c r="AJ460" s="38"/>
      <c r="AK460" s="38"/>
    </row>
    <row r="461" spans="1:37" s="2" customFormat="1">
      <c r="A461" s="39"/>
      <c r="B461" s="39"/>
      <c r="C461" s="39"/>
      <c r="D461" s="39"/>
      <c r="E461" s="39"/>
      <c r="F461" s="39"/>
      <c r="G461" s="39"/>
      <c r="H461" s="39"/>
      <c r="I461" s="39"/>
      <c r="J461" s="39"/>
      <c r="K461" s="39"/>
      <c r="L461" s="38"/>
      <c r="M461" s="38"/>
      <c r="N461" s="38"/>
      <c r="O461" s="38"/>
      <c r="P461" s="38"/>
      <c r="Q461" s="38"/>
      <c r="R461" s="38"/>
      <c r="S461" s="3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  <c r="AG461" s="38"/>
      <c r="AH461" s="38"/>
      <c r="AI461" s="38"/>
      <c r="AJ461" s="38"/>
      <c r="AK461" s="38"/>
    </row>
    <row r="462" spans="1:37" s="2" customFormat="1">
      <c r="A462" s="39"/>
      <c r="B462" s="39"/>
      <c r="C462" s="39"/>
      <c r="D462" s="39"/>
      <c r="E462" s="39"/>
      <c r="F462" s="39"/>
      <c r="G462" s="39"/>
      <c r="H462" s="39"/>
      <c r="I462" s="39"/>
      <c r="J462" s="39"/>
      <c r="K462" s="39"/>
      <c r="L462" s="38"/>
      <c r="M462" s="38"/>
      <c r="N462" s="38"/>
      <c r="O462" s="38"/>
      <c r="P462" s="38"/>
      <c r="Q462" s="38"/>
      <c r="R462" s="38"/>
      <c r="S462" s="3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  <c r="AG462" s="38"/>
      <c r="AH462" s="38"/>
      <c r="AI462" s="38"/>
      <c r="AJ462" s="38"/>
      <c r="AK462" s="38"/>
    </row>
    <row r="463" spans="1:37" s="2" customFormat="1">
      <c r="A463" s="39"/>
      <c r="B463" s="39"/>
      <c r="C463" s="39"/>
      <c r="D463" s="39"/>
      <c r="E463" s="39"/>
      <c r="F463" s="39"/>
      <c r="G463" s="39"/>
      <c r="H463" s="39"/>
      <c r="I463" s="39"/>
      <c r="J463" s="39"/>
      <c r="K463" s="39"/>
      <c r="L463" s="38"/>
      <c r="M463" s="38"/>
      <c r="N463" s="38"/>
      <c r="O463" s="38"/>
      <c r="P463" s="38"/>
      <c r="Q463" s="38"/>
      <c r="R463" s="38"/>
      <c r="S463" s="3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D463" s="38"/>
      <c r="AE463" s="38"/>
      <c r="AF463" s="38"/>
      <c r="AG463" s="38"/>
      <c r="AH463" s="38"/>
      <c r="AI463" s="38"/>
      <c r="AJ463" s="38"/>
      <c r="AK463" s="38"/>
    </row>
    <row r="464" spans="1:37" s="2" customFormat="1">
      <c r="A464" s="39"/>
      <c r="B464" s="39"/>
      <c r="C464" s="39"/>
      <c r="D464" s="39"/>
      <c r="E464" s="39"/>
      <c r="F464" s="39"/>
      <c r="G464" s="39"/>
      <c r="H464" s="39"/>
      <c r="I464" s="39"/>
      <c r="J464" s="39"/>
      <c r="K464" s="39"/>
      <c r="L464" s="38"/>
      <c r="M464" s="38"/>
      <c r="N464" s="38"/>
      <c r="O464" s="38"/>
      <c r="P464" s="38"/>
      <c r="Q464" s="38"/>
      <c r="R464" s="38"/>
      <c r="S464" s="3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  <c r="AG464" s="38"/>
      <c r="AH464" s="38"/>
      <c r="AI464" s="38"/>
      <c r="AJ464" s="38"/>
      <c r="AK464" s="38"/>
    </row>
    <row r="465" spans="1:37" s="2" customFormat="1">
      <c r="A465" s="39"/>
      <c r="B465" s="39"/>
      <c r="C465" s="39"/>
      <c r="D465" s="39"/>
      <c r="E465" s="39"/>
      <c r="F465" s="39"/>
      <c r="G465" s="39"/>
      <c r="H465" s="39"/>
      <c r="I465" s="39"/>
      <c r="J465" s="39"/>
      <c r="K465" s="39"/>
      <c r="L465" s="38"/>
      <c r="M465" s="38"/>
      <c r="N465" s="38"/>
      <c r="O465" s="38"/>
      <c r="P465" s="38"/>
      <c r="Q465" s="38"/>
      <c r="R465" s="38"/>
      <c r="S465" s="3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  <c r="AG465" s="38"/>
      <c r="AH465" s="38"/>
      <c r="AI465" s="38"/>
      <c r="AJ465" s="38"/>
      <c r="AK465" s="38"/>
    </row>
    <row r="466" spans="1:37" s="2" customFormat="1">
      <c r="A466" s="39"/>
      <c r="B466" s="39"/>
      <c r="C466" s="39"/>
      <c r="D466" s="39"/>
      <c r="E466" s="39"/>
      <c r="F466" s="39"/>
      <c r="G466" s="39"/>
      <c r="H466" s="39"/>
      <c r="I466" s="39"/>
      <c r="J466" s="39"/>
      <c r="K466" s="39"/>
      <c r="L466" s="38"/>
      <c r="M466" s="38"/>
      <c r="N466" s="38"/>
      <c r="O466" s="38"/>
      <c r="P466" s="38"/>
      <c r="Q466" s="38"/>
      <c r="R466" s="38"/>
      <c r="S466" s="3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  <c r="AG466" s="38"/>
      <c r="AH466" s="38"/>
      <c r="AI466" s="38"/>
      <c r="AJ466" s="38"/>
      <c r="AK466" s="38"/>
    </row>
    <row r="467" spans="1:37" s="2" customFormat="1">
      <c r="A467" s="39"/>
      <c r="B467" s="39"/>
      <c r="C467" s="39"/>
      <c r="D467" s="39"/>
      <c r="E467" s="39"/>
      <c r="F467" s="39"/>
      <c r="G467" s="39"/>
      <c r="H467" s="39"/>
      <c r="I467" s="39"/>
      <c r="J467" s="39"/>
      <c r="K467" s="39"/>
      <c r="L467" s="38"/>
      <c r="M467" s="38"/>
      <c r="N467" s="38"/>
      <c r="O467" s="38"/>
      <c r="P467" s="38"/>
      <c r="Q467" s="38"/>
      <c r="R467" s="38"/>
      <c r="S467" s="3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  <c r="AG467" s="38"/>
      <c r="AH467" s="38"/>
      <c r="AI467" s="38"/>
      <c r="AJ467" s="38"/>
      <c r="AK467" s="38"/>
    </row>
    <row r="468" spans="1:37" s="2" customFormat="1">
      <c r="A468" s="39"/>
      <c r="B468" s="39"/>
      <c r="C468" s="39"/>
      <c r="D468" s="39"/>
      <c r="E468" s="39"/>
      <c r="F468" s="39"/>
      <c r="G468" s="39"/>
      <c r="H468" s="39"/>
      <c r="I468" s="39"/>
      <c r="J468" s="39"/>
      <c r="K468" s="39"/>
      <c r="L468" s="38"/>
      <c r="M468" s="38"/>
      <c r="N468" s="38"/>
      <c r="O468" s="38"/>
      <c r="P468" s="38"/>
      <c r="Q468" s="38"/>
      <c r="R468" s="38"/>
      <c r="S468" s="3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  <c r="AG468" s="38"/>
      <c r="AH468" s="38"/>
      <c r="AI468" s="38"/>
      <c r="AJ468" s="38"/>
      <c r="AK468" s="38"/>
    </row>
    <row r="469" spans="1:37" s="2" customFormat="1">
      <c r="A469" s="39"/>
      <c r="B469" s="39"/>
      <c r="C469" s="39"/>
      <c r="D469" s="39"/>
      <c r="E469" s="39"/>
      <c r="F469" s="39"/>
      <c r="G469" s="39"/>
      <c r="H469" s="39"/>
      <c r="I469" s="39"/>
      <c r="J469" s="39"/>
      <c r="K469" s="39"/>
      <c r="L469" s="38"/>
      <c r="M469" s="38"/>
      <c r="N469" s="38"/>
      <c r="O469" s="38"/>
      <c r="P469" s="38"/>
      <c r="Q469" s="38"/>
      <c r="R469" s="38"/>
      <c r="S469" s="38"/>
      <c r="T469" s="38"/>
      <c r="U469" s="38"/>
      <c r="V469" s="38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  <c r="AG469" s="38"/>
      <c r="AH469" s="38"/>
      <c r="AI469" s="38"/>
      <c r="AJ469" s="38"/>
      <c r="AK469" s="38"/>
    </row>
    <row r="470" spans="1:37" s="2" customFormat="1">
      <c r="A470" s="39"/>
      <c r="B470" s="39"/>
      <c r="C470" s="39"/>
      <c r="D470" s="39"/>
      <c r="E470" s="39"/>
      <c r="F470" s="39"/>
      <c r="G470" s="39"/>
      <c r="H470" s="39"/>
      <c r="I470" s="39"/>
      <c r="J470" s="39"/>
      <c r="K470" s="39"/>
      <c r="L470" s="38"/>
      <c r="M470" s="38"/>
      <c r="N470" s="38"/>
      <c r="O470" s="38"/>
      <c r="P470" s="38"/>
      <c r="Q470" s="38"/>
      <c r="R470" s="38"/>
      <c r="S470" s="3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I470" s="38"/>
      <c r="AJ470" s="38"/>
      <c r="AK470" s="38"/>
    </row>
    <row r="471" spans="1:37" s="2" customFormat="1">
      <c r="A471" s="39"/>
      <c r="B471" s="39"/>
      <c r="C471" s="39"/>
      <c r="D471" s="39"/>
      <c r="E471" s="39"/>
      <c r="F471" s="39"/>
      <c r="G471" s="39"/>
      <c r="H471" s="39"/>
      <c r="I471" s="39"/>
      <c r="J471" s="39"/>
      <c r="K471" s="39"/>
      <c r="L471" s="38"/>
      <c r="M471" s="38"/>
      <c r="N471" s="38"/>
      <c r="O471" s="38"/>
      <c r="P471" s="38"/>
      <c r="Q471" s="38"/>
      <c r="R471" s="38"/>
      <c r="S471" s="3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I471" s="38"/>
      <c r="AJ471" s="38"/>
      <c r="AK471" s="38"/>
    </row>
    <row r="472" spans="1:37" s="2" customFormat="1">
      <c r="A472" s="39"/>
      <c r="B472" s="39"/>
      <c r="C472" s="39"/>
      <c r="D472" s="39"/>
      <c r="E472" s="39"/>
      <c r="F472" s="39"/>
      <c r="G472" s="39"/>
      <c r="H472" s="39"/>
      <c r="I472" s="39"/>
      <c r="J472" s="39"/>
      <c r="K472" s="39"/>
      <c r="L472" s="38"/>
      <c r="M472" s="38"/>
      <c r="N472" s="38"/>
      <c r="O472" s="38"/>
      <c r="P472" s="38"/>
      <c r="Q472" s="38"/>
      <c r="R472" s="38"/>
      <c r="S472" s="3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D472" s="38"/>
      <c r="AE472" s="38"/>
      <c r="AF472" s="38"/>
      <c r="AG472" s="38"/>
      <c r="AH472" s="38"/>
      <c r="AI472" s="38"/>
      <c r="AJ472" s="38"/>
      <c r="AK472" s="38"/>
    </row>
    <row r="473" spans="1:37" s="2" customFormat="1">
      <c r="A473" s="39"/>
      <c r="B473" s="39"/>
      <c r="C473" s="39"/>
      <c r="D473" s="39"/>
      <c r="E473" s="39"/>
      <c r="F473" s="39"/>
      <c r="G473" s="39"/>
      <c r="H473" s="39"/>
      <c r="I473" s="39"/>
      <c r="J473" s="39"/>
      <c r="K473" s="39"/>
      <c r="L473" s="38"/>
      <c r="M473" s="38"/>
      <c r="N473" s="38"/>
      <c r="O473" s="38"/>
      <c r="P473" s="38"/>
      <c r="Q473" s="38"/>
      <c r="R473" s="38"/>
      <c r="S473" s="38"/>
      <c r="T473" s="38"/>
      <c r="U473" s="38"/>
      <c r="V473" s="38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  <c r="AG473" s="38"/>
      <c r="AH473" s="38"/>
      <c r="AI473" s="38"/>
      <c r="AJ473" s="38"/>
      <c r="AK473" s="38"/>
    </row>
    <row r="474" spans="1:37" s="2" customFormat="1">
      <c r="A474" s="39"/>
      <c r="B474" s="39"/>
      <c r="C474" s="39"/>
      <c r="D474" s="39"/>
      <c r="E474" s="39"/>
      <c r="F474" s="39"/>
      <c r="G474" s="39"/>
      <c r="H474" s="39"/>
      <c r="I474" s="39"/>
      <c r="J474" s="39"/>
      <c r="K474" s="39"/>
      <c r="L474" s="38"/>
      <c r="M474" s="38"/>
      <c r="N474" s="38"/>
      <c r="O474" s="38"/>
      <c r="P474" s="38"/>
      <c r="Q474" s="38"/>
      <c r="R474" s="38"/>
      <c r="S474" s="3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D474" s="38"/>
      <c r="AE474" s="38"/>
      <c r="AF474" s="38"/>
      <c r="AG474" s="38"/>
      <c r="AH474" s="38"/>
      <c r="AI474" s="38"/>
      <c r="AJ474" s="38"/>
      <c r="AK474" s="38"/>
    </row>
    <row r="475" spans="1:37" s="2" customFormat="1">
      <c r="A475" s="39"/>
      <c r="B475" s="39"/>
      <c r="C475" s="39"/>
      <c r="D475" s="39"/>
      <c r="E475" s="39"/>
      <c r="F475" s="39"/>
      <c r="G475" s="39"/>
      <c r="H475" s="39"/>
      <c r="I475" s="39"/>
      <c r="J475" s="39"/>
      <c r="K475" s="39"/>
      <c r="L475" s="38"/>
      <c r="M475" s="38"/>
      <c r="N475" s="38"/>
      <c r="O475" s="38"/>
      <c r="P475" s="38"/>
      <c r="Q475" s="38"/>
      <c r="R475" s="38"/>
      <c r="S475" s="38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D475" s="38"/>
      <c r="AE475" s="38"/>
      <c r="AF475" s="38"/>
      <c r="AG475" s="38"/>
      <c r="AH475" s="38"/>
      <c r="AI475" s="38"/>
      <c r="AJ475" s="38"/>
      <c r="AK475" s="38"/>
    </row>
    <row r="476" spans="1:37" s="2" customFormat="1">
      <c r="A476" s="39"/>
      <c r="B476" s="39"/>
      <c r="C476" s="39"/>
      <c r="D476" s="39"/>
      <c r="E476" s="39"/>
      <c r="F476" s="39"/>
      <c r="G476" s="39"/>
      <c r="H476" s="39"/>
      <c r="I476" s="39"/>
      <c r="J476" s="39"/>
      <c r="K476" s="39"/>
      <c r="L476" s="38"/>
      <c r="M476" s="38"/>
      <c r="N476" s="38"/>
      <c r="O476" s="38"/>
      <c r="P476" s="38"/>
      <c r="Q476" s="38"/>
      <c r="R476" s="38"/>
      <c r="S476" s="3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D476" s="38"/>
      <c r="AE476" s="38"/>
      <c r="AF476" s="38"/>
      <c r="AG476" s="38"/>
      <c r="AH476" s="38"/>
      <c r="AI476" s="38"/>
      <c r="AJ476" s="38"/>
      <c r="AK476" s="38"/>
    </row>
    <row r="477" spans="1:37" s="2" customFormat="1">
      <c r="A477" s="39"/>
      <c r="B477" s="39"/>
      <c r="C477" s="39"/>
      <c r="D477" s="39"/>
      <c r="E477" s="39"/>
      <c r="F477" s="39"/>
      <c r="G477" s="39"/>
      <c r="H477" s="39"/>
      <c r="I477" s="39"/>
      <c r="J477" s="39"/>
      <c r="K477" s="39"/>
      <c r="L477" s="38"/>
      <c r="M477" s="38"/>
      <c r="N477" s="38"/>
      <c r="O477" s="38"/>
      <c r="P477" s="38"/>
      <c r="Q477" s="38"/>
      <c r="R477" s="38"/>
      <c r="S477" s="3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D477" s="38"/>
      <c r="AE477" s="38"/>
      <c r="AF477" s="38"/>
      <c r="AG477" s="38"/>
      <c r="AH477" s="38"/>
      <c r="AI477" s="38"/>
      <c r="AJ477" s="38"/>
      <c r="AK477" s="38"/>
    </row>
    <row r="478" spans="1:37" s="2" customFormat="1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D478" s="38"/>
      <c r="AE478" s="38"/>
      <c r="AF478" s="38"/>
      <c r="AG478" s="38"/>
      <c r="AH478" s="38"/>
      <c r="AI478" s="38"/>
      <c r="AJ478" s="38"/>
      <c r="AK478" s="38"/>
    </row>
    <row r="479" spans="1:37" s="2" customFormat="1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D479" s="38"/>
      <c r="AE479" s="38"/>
      <c r="AF479" s="38"/>
      <c r="AG479" s="38"/>
      <c r="AH479" s="38"/>
      <c r="AI479" s="38"/>
      <c r="AJ479" s="38"/>
      <c r="AK479" s="38"/>
    </row>
    <row r="480" spans="1:37" s="2" customFormat="1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D480" s="38"/>
      <c r="AE480" s="38"/>
      <c r="AF480" s="38"/>
      <c r="AG480" s="38"/>
      <c r="AH480" s="38"/>
      <c r="AI480" s="38"/>
      <c r="AJ480" s="38"/>
      <c r="AK480" s="38"/>
    </row>
    <row r="481" spans="1:37" s="2" customFormat="1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D481" s="38"/>
      <c r="AE481" s="38"/>
      <c r="AF481" s="38"/>
      <c r="AG481" s="38"/>
      <c r="AH481" s="38"/>
      <c r="AI481" s="38"/>
      <c r="AJ481" s="38"/>
      <c r="AK481" s="38"/>
    </row>
    <row r="482" spans="1:37" s="2" customFormat="1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D482" s="38"/>
      <c r="AE482" s="38"/>
      <c r="AF482" s="38"/>
      <c r="AG482" s="38"/>
      <c r="AH482" s="38"/>
      <c r="AI482" s="38"/>
      <c r="AJ482" s="38"/>
      <c r="AK482" s="38"/>
    </row>
    <row r="483" spans="1:37" s="2" customFormat="1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D483" s="38"/>
      <c r="AE483" s="38"/>
      <c r="AF483" s="38"/>
      <c r="AG483" s="38"/>
      <c r="AH483" s="38"/>
      <c r="AI483" s="38"/>
      <c r="AJ483" s="38"/>
      <c r="AK483" s="38"/>
    </row>
    <row r="484" spans="1:37" s="2" customFormat="1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D484" s="38"/>
      <c r="AE484" s="38"/>
      <c r="AF484" s="38"/>
      <c r="AG484" s="38"/>
      <c r="AH484" s="38"/>
      <c r="AI484" s="38"/>
      <c r="AJ484" s="38"/>
      <c r="AK484" s="38"/>
    </row>
    <row r="485" spans="1:37" s="2" customFormat="1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D485" s="38"/>
      <c r="AE485" s="38"/>
      <c r="AF485" s="38"/>
      <c r="AG485" s="38"/>
      <c r="AH485" s="38"/>
      <c r="AI485" s="38"/>
      <c r="AJ485" s="38"/>
      <c r="AK485" s="38"/>
    </row>
    <row r="486" spans="1:37" s="2" customFormat="1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D486" s="38"/>
      <c r="AE486" s="38"/>
      <c r="AF486" s="38"/>
      <c r="AG486" s="38"/>
      <c r="AH486" s="38"/>
      <c r="AI486" s="38"/>
      <c r="AJ486" s="38"/>
      <c r="AK486" s="38"/>
    </row>
    <row r="487" spans="1:37" s="2" customFormat="1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D487" s="38"/>
      <c r="AE487" s="38"/>
      <c r="AF487" s="38"/>
      <c r="AG487" s="38"/>
      <c r="AH487" s="38"/>
      <c r="AI487" s="38"/>
      <c r="AJ487" s="38"/>
      <c r="AK487" s="38"/>
    </row>
    <row r="488" spans="1:37" s="2" customFormat="1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D488" s="38"/>
      <c r="AE488" s="38"/>
      <c r="AF488" s="38"/>
      <c r="AG488" s="38"/>
      <c r="AH488" s="38"/>
      <c r="AI488" s="38"/>
      <c r="AJ488" s="38"/>
      <c r="AK488" s="38"/>
    </row>
    <row r="489" spans="1:37" s="2" customFormat="1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D489" s="38"/>
      <c r="AE489" s="38"/>
      <c r="AF489" s="38"/>
      <c r="AG489" s="38"/>
      <c r="AH489" s="38"/>
      <c r="AI489" s="38"/>
      <c r="AJ489" s="38"/>
      <c r="AK489" s="38"/>
    </row>
    <row r="490" spans="1:37" s="2" customFormat="1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D490" s="38"/>
      <c r="AE490" s="38"/>
      <c r="AF490" s="38"/>
      <c r="AG490" s="38"/>
      <c r="AH490" s="38"/>
      <c r="AI490" s="38"/>
      <c r="AJ490" s="38"/>
      <c r="AK490" s="38"/>
    </row>
    <row r="491" spans="1:37" s="2" customFormat="1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D491" s="38"/>
      <c r="AE491" s="38"/>
      <c r="AF491" s="38"/>
      <c r="AG491" s="38"/>
      <c r="AH491" s="38"/>
      <c r="AI491" s="38"/>
      <c r="AJ491" s="38"/>
      <c r="AK491" s="38"/>
    </row>
    <row r="492" spans="1:37" s="2" customFormat="1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D492" s="38"/>
      <c r="AE492" s="38"/>
      <c r="AF492" s="38"/>
      <c r="AG492" s="38"/>
      <c r="AH492" s="38"/>
      <c r="AI492" s="38"/>
      <c r="AJ492" s="38"/>
      <c r="AK492" s="38"/>
    </row>
    <row r="493" spans="1:37" s="2" customFormat="1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D493" s="38"/>
      <c r="AE493" s="38"/>
      <c r="AF493" s="38"/>
      <c r="AG493" s="38"/>
      <c r="AH493" s="38"/>
      <c r="AI493" s="38"/>
      <c r="AJ493" s="38"/>
      <c r="AK493" s="38"/>
    </row>
    <row r="494" spans="1:37" s="2" customFormat="1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D494" s="38"/>
      <c r="AE494" s="38"/>
      <c r="AF494" s="38"/>
      <c r="AG494" s="38"/>
      <c r="AH494" s="38"/>
      <c r="AI494" s="38"/>
      <c r="AJ494" s="38"/>
      <c r="AK494" s="38"/>
    </row>
    <row r="495" spans="1:37" s="2" customFormat="1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D495" s="38"/>
      <c r="AE495" s="38"/>
      <c r="AF495" s="38"/>
      <c r="AG495" s="38"/>
      <c r="AH495" s="38"/>
      <c r="AI495" s="38"/>
      <c r="AJ495" s="38"/>
      <c r="AK495" s="38"/>
    </row>
    <row r="496" spans="1:37" s="2" customFormat="1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D496" s="38"/>
      <c r="AE496" s="38"/>
      <c r="AF496" s="38"/>
      <c r="AG496" s="38"/>
      <c r="AH496" s="38"/>
      <c r="AI496" s="38"/>
      <c r="AJ496" s="38"/>
      <c r="AK496" s="38"/>
    </row>
    <row r="497" spans="1:37" s="2" customFormat="1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D497" s="38"/>
      <c r="AE497" s="38"/>
      <c r="AF497" s="38"/>
      <c r="AG497" s="38"/>
      <c r="AH497" s="38"/>
      <c r="AI497" s="38"/>
      <c r="AJ497" s="38"/>
      <c r="AK497" s="38"/>
    </row>
    <row r="498" spans="1:37" s="2" customFormat="1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D498" s="38"/>
      <c r="AE498" s="38"/>
      <c r="AF498" s="38"/>
      <c r="AG498" s="38"/>
      <c r="AH498" s="38"/>
      <c r="AI498" s="38"/>
      <c r="AJ498" s="38"/>
      <c r="AK498" s="38"/>
    </row>
    <row r="499" spans="1:37" s="2" customFormat="1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D499" s="38"/>
      <c r="AE499" s="38"/>
      <c r="AF499" s="38"/>
      <c r="AG499" s="38"/>
      <c r="AH499" s="38"/>
      <c r="AI499" s="38"/>
      <c r="AJ499" s="38"/>
      <c r="AK499" s="38"/>
    </row>
    <row r="500" spans="1:37" s="2" customFormat="1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D500" s="38"/>
      <c r="AE500" s="38"/>
      <c r="AF500" s="38"/>
      <c r="AG500" s="38"/>
      <c r="AH500" s="38"/>
      <c r="AI500" s="38"/>
      <c r="AJ500" s="38"/>
      <c r="AK500" s="38"/>
    </row>
    <row r="501" spans="1:37" s="2" customFormat="1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  <c r="U501" s="38"/>
      <c r="V501" s="38"/>
      <c r="W501" s="38"/>
      <c r="X501" s="38"/>
      <c r="Y501" s="38"/>
      <c r="Z501" s="38"/>
      <c r="AA501" s="38"/>
      <c r="AB501" s="38"/>
      <c r="AC501" s="38"/>
      <c r="AD501" s="38"/>
      <c r="AE501" s="38"/>
      <c r="AF501" s="38"/>
      <c r="AG501" s="38"/>
      <c r="AH501" s="38"/>
      <c r="AI501" s="38"/>
      <c r="AJ501" s="38"/>
      <c r="AK501" s="38"/>
    </row>
    <row r="502" spans="1:37" s="2" customFormat="1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D502" s="38"/>
      <c r="AE502" s="38"/>
      <c r="AF502" s="38"/>
      <c r="AG502" s="38"/>
      <c r="AH502" s="38"/>
      <c r="AI502" s="38"/>
      <c r="AJ502" s="38"/>
      <c r="AK502" s="38"/>
    </row>
    <row r="503" spans="1:37" s="2" customFormat="1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D503" s="38"/>
      <c r="AE503" s="38"/>
      <c r="AF503" s="38"/>
      <c r="AG503" s="38"/>
      <c r="AH503" s="38"/>
      <c r="AI503" s="38"/>
      <c r="AJ503" s="38"/>
      <c r="AK503" s="38"/>
    </row>
    <row r="504" spans="1:37" s="2" customFormat="1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D504" s="38"/>
      <c r="AE504" s="38"/>
      <c r="AF504" s="38"/>
      <c r="AG504" s="38"/>
      <c r="AH504" s="38"/>
      <c r="AI504" s="38"/>
      <c r="AJ504" s="38"/>
      <c r="AK504" s="38"/>
    </row>
    <row r="505" spans="1:37" s="2" customFormat="1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D505" s="38"/>
      <c r="AE505" s="38"/>
      <c r="AF505" s="38"/>
      <c r="AG505" s="38"/>
      <c r="AH505" s="38"/>
      <c r="AI505" s="38"/>
      <c r="AJ505" s="38"/>
      <c r="AK505" s="38"/>
    </row>
    <row r="506" spans="1:37" s="2" customFormat="1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D506" s="38"/>
      <c r="AE506" s="38"/>
      <c r="AF506" s="38"/>
      <c r="AG506" s="38"/>
      <c r="AH506" s="38"/>
      <c r="AI506" s="38"/>
      <c r="AJ506" s="38"/>
      <c r="AK506" s="38"/>
    </row>
    <row r="507" spans="1:37" s="2" customFormat="1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D507" s="38"/>
      <c r="AE507" s="38"/>
      <c r="AF507" s="38"/>
      <c r="AG507" s="38"/>
      <c r="AH507" s="38"/>
      <c r="AI507" s="38"/>
      <c r="AJ507" s="38"/>
      <c r="AK507" s="38"/>
    </row>
    <row r="508" spans="1:37" s="2" customFormat="1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D508" s="38"/>
      <c r="AE508" s="38"/>
      <c r="AF508" s="38"/>
      <c r="AG508" s="38"/>
      <c r="AH508" s="38"/>
      <c r="AI508" s="38"/>
      <c r="AJ508" s="38"/>
      <c r="AK508" s="38"/>
    </row>
    <row r="509" spans="1:37" s="2" customFormat="1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D509" s="38"/>
      <c r="AE509" s="38"/>
      <c r="AF509" s="38"/>
      <c r="AG509" s="38"/>
      <c r="AH509" s="38"/>
      <c r="AI509" s="38"/>
      <c r="AJ509" s="38"/>
      <c r="AK509" s="38"/>
    </row>
    <row r="510" spans="1:37" s="2" customFormat="1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D510" s="38"/>
      <c r="AE510" s="38"/>
      <c r="AF510" s="38"/>
      <c r="AG510" s="38"/>
      <c r="AH510" s="38"/>
      <c r="AI510" s="38"/>
      <c r="AJ510" s="38"/>
      <c r="AK510" s="38"/>
    </row>
    <row r="511" spans="1:37" s="2" customFormat="1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D511" s="38"/>
      <c r="AE511" s="38"/>
      <c r="AF511" s="38"/>
      <c r="AG511" s="38"/>
      <c r="AH511" s="38"/>
      <c r="AI511" s="38"/>
      <c r="AJ511" s="38"/>
      <c r="AK511" s="38"/>
    </row>
    <row r="512" spans="1:37" s="2" customFormat="1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D512" s="38"/>
      <c r="AE512" s="38"/>
      <c r="AF512" s="38"/>
      <c r="AG512" s="38"/>
      <c r="AH512" s="38"/>
      <c r="AI512" s="38"/>
      <c r="AJ512" s="38"/>
      <c r="AK512" s="38"/>
    </row>
    <row r="513" spans="1:37" s="2" customFormat="1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D513" s="38"/>
      <c r="AE513" s="38"/>
      <c r="AF513" s="38"/>
      <c r="AG513" s="38"/>
      <c r="AH513" s="38"/>
      <c r="AI513" s="38"/>
      <c r="AJ513" s="38"/>
      <c r="AK513" s="38"/>
    </row>
    <row r="514" spans="1:37" s="2" customFormat="1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D514" s="38"/>
      <c r="AE514" s="38"/>
      <c r="AF514" s="38"/>
      <c r="AG514" s="38"/>
      <c r="AH514" s="38"/>
      <c r="AI514" s="38"/>
      <c r="AJ514" s="38"/>
      <c r="AK514" s="38"/>
    </row>
    <row r="515" spans="1:37" s="2" customFormat="1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D515" s="38"/>
      <c r="AE515" s="38"/>
      <c r="AF515" s="38"/>
      <c r="AG515" s="38"/>
      <c r="AH515" s="38"/>
      <c r="AI515" s="38"/>
      <c r="AJ515" s="38"/>
      <c r="AK515" s="38"/>
    </row>
    <row r="516" spans="1:37" s="2" customFormat="1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D516" s="38"/>
      <c r="AE516" s="38"/>
      <c r="AF516" s="38"/>
      <c r="AG516" s="38"/>
      <c r="AH516" s="38"/>
      <c r="AI516" s="38"/>
      <c r="AJ516" s="38"/>
      <c r="AK516" s="38"/>
    </row>
    <row r="517" spans="1:37" s="2" customFormat="1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D517" s="38"/>
      <c r="AE517" s="38"/>
      <c r="AF517" s="38"/>
      <c r="AG517" s="38"/>
      <c r="AH517" s="38"/>
      <c r="AI517" s="38"/>
      <c r="AJ517" s="38"/>
      <c r="AK517" s="38"/>
    </row>
    <row r="518" spans="1:37" s="2" customFormat="1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D518" s="38"/>
      <c r="AE518" s="38"/>
      <c r="AF518" s="38"/>
      <c r="AG518" s="38"/>
      <c r="AH518" s="38"/>
      <c r="AI518" s="38"/>
      <c r="AJ518" s="38"/>
      <c r="AK518" s="38"/>
    </row>
    <row r="519" spans="1:37" s="2" customFormat="1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D519" s="38"/>
      <c r="AE519" s="38"/>
      <c r="AF519" s="38"/>
      <c r="AG519" s="38"/>
      <c r="AH519" s="38"/>
      <c r="AI519" s="38"/>
      <c r="AJ519" s="38"/>
      <c r="AK519" s="38"/>
    </row>
    <row r="520" spans="1:37" s="2" customFormat="1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D520" s="38"/>
      <c r="AE520" s="38"/>
      <c r="AF520" s="38"/>
      <c r="AG520" s="38"/>
      <c r="AH520" s="38"/>
      <c r="AI520" s="38"/>
      <c r="AJ520" s="38"/>
      <c r="AK520" s="38"/>
    </row>
    <row r="521" spans="1:37" s="2" customFormat="1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D521" s="38"/>
      <c r="AE521" s="38"/>
      <c r="AF521" s="38"/>
      <c r="AG521" s="38"/>
      <c r="AH521" s="38"/>
      <c r="AI521" s="38"/>
      <c r="AJ521" s="38"/>
      <c r="AK521" s="38"/>
    </row>
    <row r="522" spans="1:37" s="2" customFormat="1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D522" s="38"/>
      <c r="AE522" s="38"/>
      <c r="AF522" s="38"/>
      <c r="AG522" s="38"/>
      <c r="AH522" s="38"/>
      <c r="AI522" s="38"/>
      <c r="AJ522" s="38"/>
      <c r="AK522" s="38"/>
    </row>
    <row r="523" spans="1:37" s="2" customFormat="1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D523" s="38"/>
      <c r="AE523" s="38"/>
      <c r="AF523" s="38"/>
      <c r="AG523" s="38"/>
      <c r="AH523" s="38"/>
      <c r="AI523" s="38"/>
      <c r="AJ523" s="38"/>
      <c r="AK523" s="38"/>
    </row>
    <row r="524" spans="1:37" s="2" customFormat="1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D524" s="38"/>
      <c r="AE524" s="38"/>
      <c r="AF524" s="38"/>
      <c r="AG524" s="38"/>
      <c r="AH524" s="38"/>
      <c r="AI524" s="38"/>
      <c r="AJ524" s="38"/>
      <c r="AK524" s="38"/>
    </row>
    <row r="525" spans="1:37" s="2" customFormat="1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  <c r="U525" s="38"/>
      <c r="V525" s="38"/>
      <c r="W525" s="38"/>
      <c r="X525" s="38"/>
      <c r="Y525" s="38"/>
      <c r="Z525" s="38"/>
      <c r="AA525" s="38"/>
      <c r="AB525" s="38"/>
      <c r="AC525" s="38"/>
      <c r="AD525" s="38"/>
      <c r="AE525" s="38"/>
      <c r="AF525" s="38"/>
      <c r="AG525" s="38"/>
      <c r="AH525" s="38"/>
      <c r="AI525" s="38"/>
      <c r="AJ525" s="38"/>
      <c r="AK525" s="38"/>
    </row>
    <row r="526" spans="1:37" s="2" customFormat="1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D526" s="38"/>
      <c r="AE526" s="38"/>
      <c r="AF526" s="38"/>
      <c r="AG526" s="38"/>
      <c r="AH526" s="38"/>
      <c r="AI526" s="38"/>
      <c r="AJ526" s="38"/>
      <c r="AK526" s="38"/>
    </row>
    <row r="527" spans="1:37" s="2" customFormat="1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D527" s="38"/>
      <c r="AE527" s="38"/>
      <c r="AF527" s="38"/>
      <c r="AG527" s="38"/>
      <c r="AH527" s="38"/>
      <c r="AI527" s="38"/>
      <c r="AJ527" s="38"/>
      <c r="AK527" s="38"/>
    </row>
    <row r="528" spans="1:37" s="2" customFormat="1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D528" s="38"/>
      <c r="AE528" s="38"/>
      <c r="AF528" s="38"/>
      <c r="AG528" s="38"/>
      <c r="AH528" s="38"/>
      <c r="AI528" s="38"/>
      <c r="AJ528" s="38"/>
      <c r="AK528" s="38"/>
    </row>
    <row r="529" spans="1:37" s="2" customFormat="1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D529" s="38"/>
      <c r="AE529" s="38"/>
      <c r="AF529" s="38"/>
      <c r="AG529" s="38"/>
      <c r="AH529" s="38"/>
      <c r="AI529" s="38"/>
      <c r="AJ529" s="38"/>
      <c r="AK529" s="38"/>
    </row>
    <row r="530" spans="1:37" s="2" customFormat="1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D530" s="38"/>
      <c r="AE530" s="38"/>
      <c r="AF530" s="38"/>
      <c r="AG530" s="38"/>
      <c r="AH530" s="38"/>
      <c r="AI530" s="38"/>
      <c r="AJ530" s="38"/>
      <c r="AK530" s="38"/>
    </row>
    <row r="531" spans="1:37" s="2" customFormat="1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D531" s="38"/>
      <c r="AE531" s="38"/>
      <c r="AF531" s="38"/>
      <c r="AG531" s="38"/>
      <c r="AH531" s="38"/>
      <c r="AI531" s="38"/>
      <c r="AJ531" s="38"/>
      <c r="AK531" s="38"/>
    </row>
    <row r="532" spans="1:37" s="2" customFormat="1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D532" s="38"/>
      <c r="AE532" s="38"/>
      <c r="AF532" s="38"/>
      <c r="AG532" s="38"/>
      <c r="AH532" s="38"/>
      <c r="AI532" s="38"/>
      <c r="AJ532" s="38"/>
      <c r="AK532" s="38"/>
    </row>
    <row r="533" spans="1:37" s="2" customFormat="1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D533" s="38"/>
      <c r="AE533" s="38"/>
      <c r="AF533" s="38"/>
      <c r="AG533" s="38"/>
      <c r="AH533" s="38"/>
      <c r="AI533" s="38"/>
      <c r="AJ533" s="38"/>
      <c r="AK533" s="38"/>
    </row>
    <row r="534" spans="1:37" s="2" customFormat="1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D534" s="38"/>
      <c r="AE534" s="38"/>
      <c r="AF534" s="38"/>
      <c r="AG534" s="38"/>
      <c r="AH534" s="38"/>
      <c r="AI534" s="38"/>
      <c r="AJ534" s="38"/>
      <c r="AK534" s="38"/>
    </row>
    <row r="535" spans="1:37" s="2" customFormat="1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D535" s="38"/>
      <c r="AE535" s="38"/>
      <c r="AF535" s="38"/>
      <c r="AG535" s="38"/>
      <c r="AH535" s="38"/>
      <c r="AI535" s="38"/>
      <c r="AJ535" s="38"/>
      <c r="AK535" s="38"/>
    </row>
    <row r="536" spans="1:37" s="2" customFormat="1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D536" s="38"/>
      <c r="AE536" s="38"/>
      <c r="AF536" s="38"/>
      <c r="AG536" s="38"/>
      <c r="AH536" s="38"/>
      <c r="AI536" s="38"/>
      <c r="AJ536" s="38"/>
      <c r="AK536" s="38"/>
    </row>
    <row r="537" spans="1:37" s="2" customFormat="1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D537" s="38"/>
      <c r="AE537" s="38"/>
      <c r="AF537" s="38"/>
      <c r="AG537" s="38"/>
      <c r="AH537" s="38"/>
      <c r="AI537" s="38"/>
      <c r="AJ537" s="38"/>
      <c r="AK537" s="38"/>
    </row>
    <row r="538" spans="1:37" s="2" customFormat="1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D538" s="38"/>
      <c r="AE538" s="38"/>
      <c r="AF538" s="38"/>
      <c r="AG538" s="38"/>
      <c r="AH538" s="38"/>
      <c r="AI538" s="38"/>
      <c r="AJ538" s="38"/>
      <c r="AK538" s="38"/>
    </row>
    <row r="539" spans="1:37" s="2" customFormat="1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D539" s="38"/>
      <c r="AE539" s="38"/>
      <c r="AF539" s="38"/>
      <c r="AG539" s="38"/>
      <c r="AH539" s="38"/>
      <c r="AI539" s="38"/>
      <c r="AJ539" s="38"/>
      <c r="AK539" s="38"/>
    </row>
    <row r="540" spans="1:37" s="2" customFormat="1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D540" s="38"/>
      <c r="AE540" s="38"/>
      <c r="AF540" s="38"/>
      <c r="AG540" s="38"/>
      <c r="AH540" s="38"/>
      <c r="AI540" s="38"/>
      <c r="AJ540" s="38"/>
      <c r="AK540" s="38"/>
    </row>
    <row r="541" spans="1:37" s="2" customFormat="1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D541" s="38"/>
      <c r="AE541" s="38"/>
      <c r="AF541" s="38"/>
      <c r="AG541" s="38"/>
      <c r="AH541" s="38"/>
      <c r="AI541" s="38"/>
      <c r="AJ541" s="38"/>
      <c r="AK541" s="38"/>
    </row>
    <row r="542" spans="1:37" s="2" customFormat="1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D542" s="38"/>
      <c r="AE542" s="38"/>
      <c r="AF542" s="38"/>
      <c r="AG542" s="38"/>
      <c r="AH542" s="38"/>
      <c r="AI542" s="38"/>
      <c r="AJ542" s="38"/>
      <c r="AK542" s="38"/>
    </row>
    <row r="543" spans="1:37" s="2" customFormat="1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D543" s="38"/>
      <c r="AE543" s="38"/>
      <c r="AF543" s="38"/>
      <c r="AG543" s="38"/>
      <c r="AH543" s="38"/>
      <c r="AI543" s="38"/>
      <c r="AJ543" s="38"/>
      <c r="AK543" s="38"/>
    </row>
    <row r="544" spans="1:37" s="2" customFormat="1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D544" s="38"/>
      <c r="AE544" s="38"/>
      <c r="AF544" s="38"/>
      <c r="AG544" s="38"/>
      <c r="AH544" s="38"/>
      <c r="AI544" s="38"/>
      <c r="AJ544" s="38"/>
      <c r="AK544" s="38"/>
    </row>
    <row r="545" spans="1:37" s="2" customFormat="1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D545" s="38"/>
      <c r="AE545" s="38"/>
      <c r="AF545" s="38"/>
      <c r="AG545" s="38"/>
      <c r="AH545" s="38"/>
      <c r="AI545" s="38"/>
      <c r="AJ545" s="38"/>
      <c r="AK545" s="38"/>
    </row>
    <row r="546" spans="1:37" s="2" customFormat="1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D546" s="38"/>
      <c r="AE546" s="38"/>
      <c r="AF546" s="38"/>
      <c r="AG546" s="38"/>
      <c r="AH546" s="38"/>
      <c r="AI546" s="38"/>
      <c r="AJ546" s="38"/>
      <c r="AK546" s="38"/>
    </row>
    <row r="547" spans="1:37" s="2" customFormat="1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D547" s="38"/>
      <c r="AE547" s="38"/>
      <c r="AF547" s="38"/>
      <c r="AG547" s="38"/>
      <c r="AH547" s="38"/>
      <c r="AI547" s="38"/>
      <c r="AJ547" s="38"/>
      <c r="AK547" s="38"/>
    </row>
    <row r="548" spans="1:37" s="2" customFormat="1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D548" s="38"/>
      <c r="AE548" s="38"/>
      <c r="AF548" s="38"/>
      <c r="AG548" s="38"/>
      <c r="AH548" s="38"/>
      <c r="AI548" s="38"/>
      <c r="AJ548" s="38"/>
      <c r="AK548" s="38"/>
    </row>
    <row r="549" spans="1:37" s="2" customFormat="1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D549" s="38"/>
      <c r="AE549" s="38"/>
      <c r="AF549" s="38"/>
      <c r="AG549" s="38"/>
      <c r="AH549" s="38"/>
      <c r="AI549" s="38"/>
      <c r="AJ549" s="38"/>
      <c r="AK549" s="38"/>
    </row>
    <row r="550" spans="1:37" s="2" customFormat="1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D550" s="38"/>
      <c r="AE550" s="38"/>
      <c r="AF550" s="38"/>
      <c r="AG550" s="38"/>
      <c r="AH550" s="38"/>
      <c r="AI550" s="38"/>
      <c r="AJ550" s="38"/>
      <c r="AK550" s="38"/>
    </row>
    <row r="551" spans="1:37" s="2" customFormat="1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D551" s="38"/>
      <c r="AE551" s="38"/>
      <c r="AF551" s="38"/>
      <c r="AG551" s="38"/>
      <c r="AH551" s="38"/>
      <c r="AI551" s="38"/>
      <c r="AJ551" s="38"/>
      <c r="AK551" s="38"/>
    </row>
    <row r="552" spans="1:37" s="2" customFormat="1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D552" s="38"/>
      <c r="AE552" s="38"/>
      <c r="AF552" s="38"/>
      <c r="AG552" s="38"/>
      <c r="AH552" s="38"/>
      <c r="AI552" s="38"/>
      <c r="AJ552" s="38"/>
      <c r="AK552" s="38"/>
    </row>
    <row r="553" spans="1:37" s="2" customFormat="1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D553" s="38"/>
      <c r="AE553" s="38"/>
      <c r="AF553" s="38"/>
      <c r="AG553" s="38"/>
      <c r="AH553" s="38"/>
      <c r="AI553" s="38"/>
      <c r="AJ553" s="38"/>
      <c r="AK553" s="38"/>
    </row>
    <row r="554" spans="1:37" s="2" customFormat="1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  <c r="U554" s="38"/>
      <c r="V554" s="38"/>
      <c r="W554" s="38"/>
      <c r="X554" s="38"/>
      <c r="Y554" s="38"/>
      <c r="Z554" s="38"/>
      <c r="AA554" s="38"/>
      <c r="AB554" s="38"/>
      <c r="AC554" s="38"/>
      <c r="AD554" s="38"/>
      <c r="AE554" s="38"/>
      <c r="AF554" s="38"/>
      <c r="AG554" s="38"/>
      <c r="AH554" s="38"/>
      <c r="AI554" s="38"/>
      <c r="AJ554" s="38"/>
      <c r="AK554" s="38"/>
    </row>
    <row r="555" spans="1:37" s="2" customFormat="1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  <c r="U555" s="38"/>
      <c r="V555" s="38"/>
      <c r="W555" s="38"/>
      <c r="X555" s="38"/>
      <c r="Y555" s="38"/>
      <c r="Z555" s="38"/>
      <c r="AA555" s="38"/>
      <c r="AB555" s="38"/>
      <c r="AC555" s="38"/>
      <c r="AD555" s="38"/>
      <c r="AE555" s="38"/>
      <c r="AF555" s="38"/>
      <c r="AG555" s="38"/>
      <c r="AH555" s="38"/>
      <c r="AI555" s="38"/>
      <c r="AJ555" s="38"/>
      <c r="AK555" s="38"/>
    </row>
    <row r="556" spans="1:37" s="2" customFormat="1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D556" s="38"/>
      <c r="AE556" s="38"/>
      <c r="AF556" s="38"/>
      <c r="AG556" s="38"/>
      <c r="AH556" s="38"/>
      <c r="AI556" s="38"/>
      <c r="AJ556" s="38"/>
      <c r="AK556" s="38"/>
    </row>
    <row r="557" spans="1:37" s="2" customFormat="1">
      <c r="A557" s="38"/>
      <c r="B557" s="38"/>
      <c r="C557" s="38"/>
      <c r="D557" s="38"/>
      <c r="E557" s="38"/>
      <c r="F557" s="38"/>
      <c r="G557" s="38"/>
      <c r="H557" s="38"/>
      <c r="I557" s="38"/>
      <c r="J557" s="38"/>
      <c r="K557" s="38"/>
      <c r="L557" s="38"/>
      <c r="M557" s="38"/>
      <c r="N557" s="38"/>
      <c r="O557" s="38"/>
      <c r="P557" s="38"/>
      <c r="Q557" s="38"/>
      <c r="R557" s="38"/>
      <c r="S557" s="38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D557" s="38"/>
      <c r="AE557" s="38"/>
      <c r="AF557" s="38"/>
      <c r="AG557" s="38"/>
      <c r="AH557" s="38"/>
      <c r="AI557" s="38"/>
      <c r="AJ557" s="38"/>
      <c r="AK557" s="38"/>
    </row>
    <row r="558" spans="1:37" s="2" customFormat="1">
      <c r="A558" s="38"/>
      <c r="B558" s="38"/>
      <c r="C558" s="38"/>
      <c r="D558" s="38"/>
      <c r="E558" s="38"/>
      <c r="F558" s="38"/>
      <c r="G558" s="38"/>
      <c r="H558" s="38"/>
      <c r="I558" s="38"/>
      <c r="J558" s="38"/>
      <c r="K558" s="38"/>
      <c r="L558" s="38"/>
      <c r="M558" s="38"/>
      <c r="N558" s="38"/>
      <c r="O558" s="38"/>
      <c r="P558" s="38"/>
      <c r="Q558" s="38"/>
      <c r="R558" s="38"/>
      <c r="S558" s="38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D558" s="38"/>
      <c r="AE558" s="38"/>
      <c r="AF558" s="38"/>
      <c r="AG558" s="38"/>
      <c r="AH558" s="38"/>
      <c r="AI558" s="38"/>
      <c r="AJ558" s="38"/>
      <c r="AK558" s="38"/>
    </row>
    <row r="559" spans="1:37" s="2" customFormat="1">
      <c r="A559" s="38"/>
      <c r="B559" s="38"/>
      <c r="C559" s="38"/>
      <c r="D559" s="38"/>
      <c r="E559" s="38"/>
      <c r="F559" s="38"/>
      <c r="G559" s="38"/>
      <c r="H559" s="38"/>
      <c r="I559" s="38"/>
      <c r="J559" s="38"/>
      <c r="K559" s="38"/>
      <c r="L559" s="38"/>
      <c r="M559" s="38"/>
      <c r="N559" s="38"/>
      <c r="O559" s="38"/>
      <c r="P559" s="38"/>
      <c r="Q559" s="38"/>
      <c r="R559" s="38"/>
      <c r="S559" s="38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D559" s="38"/>
      <c r="AE559" s="38"/>
      <c r="AF559" s="38"/>
      <c r="AG559" s="38"/>
      <c r="AH559" s="38"/>
      <c r="AI559" s="38"/>
      <c r="AJ559" s="38"/>
      <c r="AK559" s="38"/>
    </row>
    <row r="560" spans="1:37" s="2" customFormat="1">
      <c r="A560" s="38"/>
      <c r="B560" s="38"/>
      <c r="C560" s="38"/>
      <c r="D560" s="38"/>
      <c r="E560" s="38"/>
      <c r="F560" s="38"/>
      <c r="G560" s="38"/>
      <c r="H560" s="38"/>
      <c r="I560" s="38"/>
      <c r="J560" s="38"/>
      <c r="K560" s="38"/>
      <c r="L560" s="38"/>
      <c r="M560" s="38"/>
      <c r="N560" s="38"/>
      <c r="O560" s="38"/>
      <c r="P560" s="38"/>
      <c r="Q560" s="38"/>
      <c r="R560" s="38"/>
      <c r="S560" s="38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D560" s="38"/>
      <c r="AE560" s="38"/>
      <c r="AF560" s="38"/>
      <c r="AG560" s="38"/>
      <c r="AH560" s="38"/>
      <c r="AI560" s="38"/>
      <c r="AJ560" s="38"/>
      <c r="AK560" s="38"/>
    </row>
    <row r="561" spans="1:37" s="2" customFormat="1">
      <c r="A561" s="38"/>
      <c r="B561" s="38"/>
      <c r="C561" s="38"/>
      <c r="D561" s="38"/>
      <c r="E561" s="38"/>
      <c r="F561" s="38"/>
      <c r="G561" s="38"/>
      <c r="H561" s="38"/>
      <c r="I561" s="38"/>
      <c r="J561" s="38"/>
      <c r="K561" s="38"/>
      <c r="L561" s="38"/>
      <c r="M561" s="38"/>
      <c r="N561" s="38"/>
      <c r="O561" s="38"/>
      <c r="P561" s="38"/>
      <c r="Q561" s="38"/>
      <c r="R561" s="38"/>
      <c r="S561" s="38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D561" s="38"/>
      <c r="AE561" s="38"/>
      <c r="AF561" s="38"/>
      <c r="AG561" s="38"/>
      <c r="AH561" s="38"/>
      <c r="AI561" s="38"/>
      <c r="AJ561" s="38"/>
      <c r="AK561" s="38"/>
    </row>
    <row r="562" spans="1:37" s="2" customFormat="1">
      <c r="A562" s="38"/>
      <c r="B562" s="38"/>
      <c r="C562" s="38"/>
      <c r="D562" s="38"/>
      <c r="E562" s="38"/>
      <c r="F562" s="38"/>
      <c r="G562" s="38"/>
      <c r="H562" s="38"/>
      <c r="I562" s="38"/>
      <c r="J562" s="38"/>
      <c r="K562" s="38"/>
      <c r="L562" s="38"/>
      <c r="M562" s="38"/>
      <c r="N562" s="38"/>
      <c r="O562" s="38"/>
      <c r="P562" s="38"/>
      <c r="Q562" s="38"/>
      <c r="R562" s="38"/>
      <c r="S562" s="38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D562" s="38"/>
      <c r="AE562" s="38"/>
      <c r="AF562" s="38"/>
      <c r="AG562" s="38"/>
      <c r="AH562" s="38"/>
      <c r="AI562" s="38"/>
      <c r="AJ562" s="38"/>
      <c r="AK562" s="38"/>
    </row>
    <row r="563" spans="1:37" s="2" customFormat="1">
      <c r="A563" s="38"/>
      <c r="B563" s="38"/>
      <c r="C563" s="38"/>
      <c r="D563" s="38"/>
      <c r="E563" s="38"/>
      <c r="F563" s="38"/>
      <c r="G563" s="38"/>
      <c r="H563" s="38"/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D563" s="38"/>
      <c r="AE563" s="38"/>
      <c r="AF563" s="38"/>
      <c r="AG563" s="38"/>
      <c r="AH563" s="38"/>
      <c r="AI563" s="38"/>
      <c r="AJ563" s="38"/>
      <c r="AK563" s="38"/>
    </row>
    <row r="564" spans="1:37" s="2" customFormat="1">
      <c r="A564" s="38"/>
      <c r="B564" s="38"/>
      <c r="C564" s="38"/>
      <c r="D564" s="38"/>
      <c r="E564" s="38"/>
      <c r="F564" s="38"/>
      <c r="G564" s="38"/>
      <c r="H564" s="38"/>
      <c r="I564" s="38"/>
      <c r="J564" s="38"/>
      <c r="K564" s="38"/>
      <c r="L564" s="38"/>
      <c r="M564" s="38"/>
      <c r="N564" s="38"/>
      <c r="O564" s="38"/>
      <c r="P564" s="38"/>
      <c r="Q564" s="38"/>
      <c r="R564" s="38"/>
      <c r="S564" s="38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D564" s="38"/>
      <c r="AE564" s="38"/>
      <c r="AF564" s="38"/>
      <c r="AG564" s="38"/>
      <c r="AH564" s="38"/>
      <c r="AI564" s="38"/>
      <c r="AJ564" s="38"/>
      <c r="AK564" s="38"/>
    </row>
    <row r="565" spans="1:37" s="2" customFormat="1">
      <c r="A565" s="38"/>
      <c r="B565" s="38"/>
      <c r="C565" s="38"/>
      <c r="D565" s="38"/>
      <c r="E565" s="38"/>
      <c r="F565" s="38"/>
      <c r="G565" s="38"/>
      <c r="H565" s="38"/>
      <c r="I565" s="38"/>
      <c r="J565" s="38"/>
      <c r="K565" s="38"/>
      <c r="L565" s="38"/>
      <c r="M565" s="38"/>
      <c r="N565" s="38"/>
      <c r="O565" s="38"/>
      <c r="P565" s="38"/>
      <c r="Q565" s="38"/>
      <c r="R565" s="38"/>
      <c r="S565" s="38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D565" s="38"/>
      <c r="AE565" s="38"/>
      <c r="AF565" s="38"/>
      <c r="AG565" s="38"/>
      <c r="AH565" s="38"/>
      <c r="AI565" s="38"/>
      <c r="AJ565" s="38"/>
      <c r="AK565" s="38"/>
    </row>
    <row r="566" spans="1:37" s="2" customFormat="1">
      <c r="A566" s="38"/>
      <c r="B566" s="38"/>
      <c r="C566" s="38"/>
      <c r="D566" s="38"/>
      <c r="E566" s="38"/>
      <c r="F566" s="38"/>
      <c r="G566" s="38"/>
      <c r="H566" s="38"/>
      <c r="I566" s="38"/>
      <c r="J566" s="38"/>
      <c r="K566" s="38"/>
      <c r="L566" s="38"/>
      <c r="M566" s="38"/>
      <c r="N566" s="38"/>
      <c r="O566" s="38"/>
      <c r="P566" s="38"/>
      <c r="Q566" s="38"/>
      <c r="R566" s="38"/>
      <c r="S566" s="38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D566" s="38"/>
      <c r="AE566" s="38"/>
      <c r="AF566" s="38"/>
      <c r="AG566" s="38"/>
      <c r="AH566" s="38"/>
      <c r="AI566" s="38"/>
      <c r="AJ566" s="38"/>
      <c r="AK566" s="38"/>
    </row>
    <row r="567" spans="1:37" s="2" customFormat="1">
      <c r="A567" s="38"/>
      <c r="B567" s="38"/>
      <c r="C567" s="38"/>
      <c r="D567" s="38"/>
      <c r="E567" s="38"/>
      <c r="F567" s="38"/>
      <c r="G567" s="38"/>
      <c r="H567" s="38"/>
      <c r="I567" s="38"/>
      <c r="J567" s="38"/>
      <c r="K567" s="38"/>
      <c r="L567" s="38"/>
      <c r="M567" s="38"/>
      <c r="N567" s="38"/>
      <c r="O567" s="38"/>
      <c r="P567" s="38"/>
      <c r="Q567" s="38"/>
      <c r="R567" s="38"/>
      <c r="S567" s="38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D567" s="38"/>
      <c r="AE567" s="38"/>
      <c r="AF567" s="38"/>
      <c r="AG567" s="38"/>
      <c r="AH567" s="38"/>
      <c r="AI567" s="38"/>
      <c r="AJ567" s="38"/>
      <c r="AK567" s="38"/>
    </row>
    <row r="568" spans="1:37" s="2" customFormat="1">
      <c r="A568" s="38"/>
      <c r="B568" s="38"/>
      <c r="C568" s="38"/>
      <c r="D568" s="38"/>
      <c r="E568" s="38"/>
      <c r="F568" s="38"/>
      <c r="G568" s="38"/>
      <c r="H568" s="38"/>
      <c r="I568" s="38"/>
      <c r="J568" s="38"/>
      <c r="K568" s="38"/>
      <c r="L568" s="38"/>
      <c r="M568" s="38"/>
      <c r="N568" s="38"/>
      <c r="O568" s="38"/>
      <c r="P568" s="38"/>
      <c r="Q568" s="38"/>
      <c r="R568" s="38"/>
      <c r="S568" s="38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D568" s="38"/>
      <c r="AE568" s="38"/>
      <c r="AF568" s="38"/>
      <c r="AG568" s="38"/>
      <c r="AH568" s="38"/>
      <c r="AI568" s="38"/>
      <c r="AJ568" s="38"/>
      <c r="AK568" s="38"/>
    </row>
    <row r="569" spans="1:37" s="2" customFormat="1">
      <c r="A569" s="38"/>
      <c r="B569" s="38"/>
      <c r="C569" s="38"/>
      <c r="D569" s="38"/>
      <c r="E569" s="38"/>
      <c r="F569" s="38"/>
      <c r="G569" s="38"/>
      <c r="H569" s="38"/>
      <c r="I569" s="38"/>
      <c r="J569" s="38"/>
      <c r="K569" s="38"/>
      <c r="L569" s="38"/>
      <c r="M569" s="38"/>
      <c r="N569" s="38"/>
      <c r="O569" s="38"/>
      <c r="P569" s="38"/>
      <c r="Q569" s="38"/>
      <c r="R569" s="38"/>
      <c r="S569" s="38"/>
      <c r="T569" s="38"/>
      <c r="U569" s="38"/>
      <c r="V569" s="38"/>
      <c r="W569" s="38"/>
      <c r="X569" s="38"/>
      <c r="Y569" s="38"/>
      <c r="Z569" s="38"/>
      <c r="AA569" s="38"/>
      <c r="AB569" s="38"/>
      <c r="AC569" s="38"/>
      <c r="AD569" s="38"/>
      <c r="AE569" s="38"/>
      <c r="AF569" s="38"/>
      <c r="AG569" s="38"/>
      <c r="AH569" s="38"/>
      <c r="AI569" s="38"/>
      <c r="AJ569" s="38"/>
      <c r="AK569" s="38"/>
    </row>
    <row r="570" spans="1:37" s="2" customFormat="1">
      <c r="A570" s="38"/>
      <c r="B570" s="38"/>
      <c r="C570" s="38"/>
      <c r="D570" s="38"/>
      <c r="E570" s="38"/>
      <c r="F570" s="38"/>
      <c r="G570" s="38"/>
      <c r="H570" s="38"/>
      <c r="I570" s="38"/>
      <c r="J570" s="38"/>
      <c r="K570" s="38"/>
      <c r="L570" s="38"/>
      <c r="M570" s="38"/>
      <c r="N570" s="38"/>
      <c r="O570" s="38"/>
      <c r="P570" s="38"/>
      <c r="Q570" s="38"/>
      <c r="R570" s="38"/>
      <c r="S570" s="38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D570" s="38"/>
      <c r="AE570" s="38"/>
      <c r="AF570" s="38"/>
      <c r="AG570" s="38"/>
      <c r="AH570" s="38"/>
      <c r="AI570" s="38"/>
      <c r="AJ570" s="38"/>
      <c r="AK570" s="38"/>
    </row>
    <row r="571" spans="1:37" s="2" customFormat="1">
      <c r="A571" s="38"/>
      <c r="B571" s="38"/>
      <c r="C571" s="38"/>
      <c r="D571" s="38"/>
      <c r="E571" s="38"/>
      <c r="F571" s="38"/>
      <c r="G571" s="38"/>
      <c r="H571" s="38"/>
      <c r="I571" s="38"/>
      <c r="J571" s="38"/>
      <c r="K571" s="38"/>
      <c r="L571" s="38"/>
      <c r="M571" s="38"/>
      <c r="N571" s="38"/>
      <c r="O571" s="38"/>
      <c r="P571" s="38"/>
      <c r="Q571" s="38"/>
      <c r="R571" s="38"/>
      <c r="S571" s="38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D571" s="38"/>
      <c r="AE571" s="38"/>
      <c r="AF571" s="38"/>
      <c r="AG571" s="38"/>
      <c r="AH571" s="38"/>
      <c r="AI571" s="38"/>
      <c r="AJ571" s="38"/>
      <c r="AK571" s="38"/>
    </row>
    <row r="572" spans="1:37" s="2" customFormat="1">
      <c r="A572" s="38"/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38"/>
      <c r="M572" s="38"/>
      <c r="N572" s="38"/>
      <c r="O572" s="38"/>
      <c r="P572" s="38"/>
      <c r="Q572" s="38"/>
      <c r="R572" s="38"/>
      <c r="S572" s="38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D572" s="38"/>
      <c r="AE572" s="38"/>
      <c r="AF572" s="38"/>
      <c r="AG572" s="38"/>
      <c r="AH572" s="38"/>
      <c r="AI572" s="38"/>
      <c r="AJ572" s="38"/>
      <c r="AK572" s="38"/>
    </row>
    <row r="573" spans="1:37" s="2" customFormat="1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38"/>
      <c r="M573" s="38"/>
      <c r="N573" s="38"/>
      <c r="O573" s="38"/>
      <c r="P573" s="38"/>
      <c r="Q573" s="38"/>
      <c r="R573" s="38"/>
      <c r="S573" s="38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D573" s="38"/>
      <c r="AE573" s="38"/>
      <c r="AF573" s="38"/>
      <c r="AG573" s="38"/>
      <c r="AH573" s="38"/>
      <c r="AI573" s="38"/>
      <c r="AJ573" s="38"/>
      <c r="AK573" s="38"/>
    </row>
    <row r="574" spans="1:37" s="2" customFormat="1">
      <c r="A574" s="38"/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38"/>
      <c r="M574" s="38"/>
      <c r="N574" s="38"/>
      <c r="O574" s="38"/>
      <c r="P574" s="38"/>
      <c r="Q574" s="38"/>
      <c r="R574" s="38"/>
      <c r="S574" s="38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D574" s="38"/>
      <c r="AE574" s="38"/>
      <c r="AF574" s="38"/>
      <c r="AG574" s="38"/>
      <c r="AH574" s="38"/>
      <c r="AI574" s="38"/>
      <c r="AJ574" s="38"/>
      <c r="AK574" s="38"/>
    </row>
    <row r="575" spans="1:37" s="2" customFormat="1">
      <c r="A575" s="38"/>
      <c r="B575" s="38"/>
      <c r="C575" s="38"/>
      <c r="D575" s="38"/>
      <c r="E575" s="38"/>
      <c r="F575" s="38"/>
      <c r="G575" s="38"/>
      <c r="H575" s="38"/>
      <c r="I575" s="38"/>
      <c r="J575" s="38"/>
      <c r="K575" s="38"/>
      <c r="L575" s="38"/>
      <c r="M575" s="38"/>
      <c r="N575" s="38"/>
      <c r="O575" s="38"/>
      <c r="P575" s="38"/>
      <c r="Q575" s="38"/>
      <c r="R575" s="38"/>
      <c r="S575" s="38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D575" s="38"/>
      <c r="AE575" s="38"/>
      <c r="AF575" s="38"/>
      <c r="AG575" s="38"/>
      <c r="AH575" s="38"/>
      <c r="AI575" s="38"/>
      <c r="AJ575" s="38"/>
      <c r="AK575" s="38"/>
    </row>
    <row r="576" spans="1:37" s="2" customFormat="1">
      <c r="A576" s="38"/>
      <c r="B576" s="38"/>
      <c r="C576" s="38"/>
      <c r="D576" s="38"/>
      <c r="E576" s="38"/>
      <c r="F576" s="38"/>
      <c r="G576" s="38"/>
      <c r="H576" s="38"/>
      <c r="I576" s="38"/>
      <c r="J576" s="38"/>
      <c r="K576" s="38"/>
      <c r="L576" s="38"/>
      <c r="M576" s="38"/>
      <c r="N576" s="38"/>
      <c r="O576" s="38"/>
      <c r="P576" s="38"/>
      <c r="Q576" s="38"/>
      <c r="R576" s="38"/>
      <c r="S576" s="38"/>
      <c r="T576" s="38"/>
      <c r="U576" s="38"/>
      <c r="V576" s="38"/>
      <c r="W576" s="38"/>
      <c r="X576" s="38"/>
      <c r="Y576" s="38"/>
      <c r="Z576" s="38"/>
      <c r="AA576" s="38"/>
      <c r="AB576" s="38"/>
      <c r="AC576" s="38"/>
      <c r="AD576" s="38"/>
      <c r="AE576" s="38"/>
      <c r="AF576" s="38"/>
      <c r="AG576" s="38"/>
      <c r="AH576" s="38"/>
      <c r="AI576" s="38"/>
      <c r="AJ576" s="38"/>
      <c r="AK576" s="38"/>
    </row>
    <row r="577" spans="1:37" s="2" customFormat="1">
      <c r="A577" s="38"/>
      <c r="B577" s="38"/>
      <c r="C577" s="38"/>
      <c r="D577" s="38"/>
      <c r="E577" s="38"/>
      <c r="F577" s="38"/>
      <c r="G577" s="38"/>
      <c r="H577" s="38"/>
      <c r="I577" s="38"/>
      <c r="J577" s="38"/>
      <c r="K577" s="38"/>
      <c r="L577" s="38"/>
      <c r="M577" s="38"/>
      <c r="N577" s="38"/>
      <c r="O577" s="38"/>
      <c r="P577" s="38"/>
      <c r="Q577" s="38"/>
      <c r="R577" s="38"/>
      <c r="S577" s="38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D577" s="38"/>
      <c r="AE577" s="38"/>
      <c r="AF577" s="38"/>
      <c r="AG577" s="38"/>
      <c r="AH577" s="38"/>
      <c r="AI577" s="38"/>
      <c r="AJ577" s="38"/>
      <c r="AK577" s="38"/>
    </row>
    <row r="578" spans="1:37" s="2" customFormat="1">
      <c r="A578" s="38"/>
      <c r="B578" s="38"/>
      <c r="C578" s="38"/>
      <c r="D578" s="38"/>
      <c r="E578" s="38"/>
      <c r="F578" s="38"/>
      <c r="G578" s="38"/>
      <c r="H578" s="38"/>
      <c r="I578" s="38"/>
      <c r="J578" s="38"/>
      <c r="K578" s="38"/>
      <c r="L578" s="38"/>
      <c r="M578" s="38"/>
      <c r="N578" s="38"/>
      <c r="O578" s="38"/>
      <c r="P578" s="38"/>
      <c r="Q578" s="38"/>
      <c r="R578" s="38"/>
      <c r="S578" s="38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  <c r="AG578" s="38"/>
      <c r="AH578" s="38"/>
      <c r="AI578" s="38"/>
      <c r="AJ578" s="38"/>
      <c r="AK578" s="38"/>
    </row>
    <row r="579" spans="1:37" s="2" customFormat="1">
      <c r="A579" s="38"/>
      <c r="B579" s="38"/>
      <c r="C579" s="38"/>
      <c r="D579" s="38"/>
      <c r="E579" s="38"/>
      <c r="F579" s="38"/>
      <c r="G579" s="38"/>
      <c r="H579" s="38"/>
      <c r="I579" s="38"/>
      <c r="J579" s="38"/>
      <c r="K579" s="38"/>
      <c r="L579" s="38"/>
      <c r="M579" s="38"/>
      <c r="N579" s="38"/>
      <c r="O579" s="38"/>
      <c r="P579" s="38"/>
      <c r="Q579" s="38"/>
      <c r="R579" s="38"/>
      <c r="S579" s="38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D579" s="38"/>
      <c r="AE579" s="38"/>
      <c r="AF579" s="38"/>
      <c r="AG579" s="38"/>
      <c r="AH579" s="38"/>
      <c r="AI579" s="38"/>
      <c r="AJ579" s="38"/>
      <c r="AK579" s="38"/>
    </row>
    <row r="580" spans="1:37" s="2" customFormat="1">
      <c r="A580" s="38"/>
      <c r="B580" s="38"/>
      <c r="C580" s="38"/>
      <c r="D580" s="38"/>
      <c r="E580" s="38"/>
      <c r="F580" s="38"/>
      <c r="G580" s="38"/>
      <c r="H580" s="38"/>
      <c r="I580" s="38"/>
      <c r="J580" s="38"/>
      <c r="K580" s="38"/>
      <c r="L580" s="38"/>
      <c r="M580" s="38"/>
      <c r="N580" s="38"/>
      <c r="O580" s="38"/>
      <c r="P580" s="38"/>
      <c r="Q580" s="38"/>
      <c r="R580" s="38"/>
      <c r="S580" s="38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D580" s="38"/>
      <c r="AE580" s="38"/>
      <c r="AF580" s="38"/>
      <c r="AG580" s="38"/>
      <c r="AH580" s="38"/>
      <c r="AI580" s="38"/>
      <c r="AJ580" s="38"/>
      <c r="AK580" s="38"/>
    </row>
    <row r="581" spans="1:37" s="2" customFormat="1">
      <c r="A581" s="38"/>
      <c r="B581" s="38"/>
      <c r="C581" s="38"/>
      <c r="D581" s="38"/>
      <c r="E581" s="38"/>
      <c r="F581" s="38"/>
      <c r="G581" s="38"/>
      <c r="H581" s="38"/>
      <c r="I581" s="38"/>
      <c r="J581" s="38"/>
      <c r="K581" s="38"/>
      <c r="L581" s="38"/>
      <c r="M581" s="38"/>
      <c r="N581" s="38"/>
      <c r="O581" s="38"/>
      <c r="P581" s="38"/>
      <c r="Q581" s="38"/>
      <c r="R581" s="38"/>
      <c r="S581" s="38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D581" s="38"/>
      <c r="AE581" s="38"/>
      <c r="AF581" s="38"/>
      <c r="AG581" s="38"/>
      <c r="AH581" s="38"/>
      <c r="AI581" s="38"/>
      <c r="AJ581" s="38"/>
      <c r="AK581" s="38"/>
    </row>
    <row r="582" spans="1:37" s="2" customFormat="1">
      <c r="A582" s="38"/>
      <c r="B582" s="38"/>
      <c r="C582" s="38"/>
      <c r="D582" s="38"/>
      <c r="E582" s="38"/>
      <c r="F582" s="38"/>
      <c r="G582" s="38"/>
      <c r="H582" s="38"/>
      <c r="I582" s="38"/>
      <c r="J582" s="38"/>
      <c r="K582" s="38"/>
      <c r="L582" s="38"/>
      <c r="M582" s="38"/>
      <c r="N582" s="38"/>
      <c r="O582" s="38"/>
      <c r="P582" s="38"/>
      <c r="Q582" s="38"/>
      <c r="R582" s="38"/>
      <c r="S582" s="38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D582" s="38"/>
      <c r="AE582" s="38"/>
      <c r="AF582" s="38"/>
      <c r="AG582" s="38"/>
      <c r="AH582" s="38"/>
      <c r="AI582" s="38"/>
      <c r="AJ582" s="38"/>
      <c r="AK582" s="38"/>
    </row>
    <row r="583" spans="1:37" s="2" customFormat="1">
      <c r="A583" s="38"/>
      <c r="B583" s="38"/>
      <c r="C583" s="38"/>
      <c r="D583" s="38"/>
      <c r="E583" s="38"/>
      <c r="F583" s="38"/>
      <c r="G583" s="38"/>
      <c r="H583" s="38"/>
      <c r="I583" s="38"/>
      <c r="J583" s="38"/>
      <c r="K583" s="38"/>
      <c r="L583" s="38"/>
      <c r="M583" s="38"/>
      <c r="N583" s="38"/>
      <c r="O583" s="38"/>
      <c r="P583" s="38"/>
      <c r="Q583" s="38"/>
      <c r="R583" s="38"/>
      <c r="S583" s="38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D583" s="38"/>
      <c r="AE583" s="38"/>
      <c r="AF583" s="38"/>
      <c r="AG583" s="38"/>
      <c r="AH583" s="38"/>
      <c r="AI583" s="38"/>
      <c r="AJ583" s="38"/>
      <c r="AK583" s="38"/>
    </row>
    <row r="584" spans="1:37" s="2" customFormat="1">
      <c r="A584" s="38"/>
      <c r="B584" s="38"/>
      <c r="C584" s="38"/>
      <c r="D584" s="38"/>
      <c r="E584" s="38"/>
      <c r="F584" s="38"/>
      <c r="G584" s="38"/>
      <c r="H584" s="38"/>
      <c r="I584" s="38"/>
      <c r="J584" s="38"/>
      <c r="K584" s="38"/>
      <c r="L584" s="38"/>
      <c r="M584" s="38"/>
      <c r="N584" s="38"/>
      <c r="O584" s="38"/>
      <c r="P584" s="38"/>
      <c r="Q584" s="38"/>
      <c r="R584" s="38"/>
      <c r="S584" s="38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D584" s="38"/>
      <c r="AE584" s="38"/>
      <c r="AF584" s="38"/>
      <c r="AG584" s="38"/>
      <c r="AH584" s="38"/>
      <c r="AI584" s="38"/>
      <c r="AJ584" s="38"/>
      <c r="AK584" s="38"/>
    </row>
    <row r="585" spans="1:37" s="2" customFormat="1">
      <c r="A585" s="38"/>
      <c r="B585" s="38"/>
      <c r="C585" s="38"/>
      <c r="D585" s="38"/>
      <c r="E585" s="38"/>
      <c r="F585" s="38"/>
      <c r="G585" s="38"/>
      <c r="H585" s="38"/>
      <c r="I585" s="38"/>
      <c r="J585" s="38"/>
      <c r="K585" s="38"/>
      <c r="L585" s="38"/>
      <c r="M585" s="38"/>
      <c r="N585" s="38"/>
      <c r="O585" s="38"/>
      <c r="P585" s="38"/>
      <c r="Q585" s="38"/>
      <c r="R585" s="38"/>
      <c r="S585" s="38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D585" s="38"/>
      <c r="AE585" s="38"/>
      <c r="AF585" s="38"/>
      <c r="AG585" s="38"/>
      <c r="AH585" s="38"/>
      <c r="AI585" s="38"/>
      <c r="AJ585" s="38"/>
      <c r="AK585" s="38"/>
    </row>
    <row r="586" spans="1:37" s="2" customFormat="1">
      <c r="A586" s="38"/>
      <c r="B586" s="38"/>
      <c r="C586" s="38"/>
      <c r="D586" s="38"/>
      <c r="E586" s="38"/>
      <c r="F586" s="38"/>
      <c r="G586" s="38"/>
      <c r="H586" s="38"/>
      <c r="I586" s="38"/>
      <c r="J586" s="38"/>
      <c r="K586" s="38"/>
      <c r="L586" s="38"/>
      <c r="M586" s="38"/>
      <c r="N586" s="38"/>
      <c r="O586" s="38"/>
      <c r="P586" s="38"/>
      <c r="Q586" s="38"/>
      <c r="R586" s="38"/>
      <c r="S586" s="38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D586" s="38"/>
      <c r="AE586" s="38"/>
      <c r="AF586" s="38"/>
      <c r="AG586" s="38"/>
      <c r="AH586" s="38"/>
      <c r="AI586" s="38"/>
      <c r="AJ586" s="38"/>
      <c r="AK586" s="38"/>
    </row>
    <row r="587" spans="1:37" s="2" customFormat="1">
      <c r="A587" s="38"/>
      <c r="B587" s="38"/>
      <c r="C587" s="38"/>
      <c r="D587" s="38"/>
      <c r="E587" s="38"/>
      <c r="F587" s="38"/>
      <c r="G587" s="38"/>
      <c r="H587" s="38"/>
      <c r="I587" s="38"/>
      <c r="J587" s="38"/>
      <c r="K587" s="38"/>
      <c r="L587" s="38"/>
      <c r="M587" s="38"/>
      <c r="N587" s="38"/>
      <c r="O587" s="38"/>
      <c r="P587" s="38"/>
      <c r="Q587" s="38"/>
      <c r="R587" s="38"/>
      <c r="S587" s="38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D587" s="38"/>
      <c r="AE587" s="38"/>
      <c r="AF587" s="38"/>
      <c r="AG587" s="38"/>
      <c r="AH587" s="38"/>
      <c r="AI587" s="38"/>
      <c r="AJ587" s="38"/>
      <c r="AK587" s="38"/>
    </row>
    <row r="588" spans="1:37" s="2" customFormat="1">
      <c r="A588" s="38"/>
      <c r="B588" s="38"/>
      <c r="C588" s="38"/>
      <c r="D588" s="38"/>
      <c r="E588" s="38"/>
      <c r="F588" s="38"/>
      <c r="G588" s="38"/>
      <c r="H588" s="38"/>
      <c r="I588" s="38"/>
      <c r="J588" s="38"/>
      <c r="K588" s="38"/>
      <c r="L588" s="38"/>
      <c r="M588" s="38"/>
      <c r="N588" s="38"/>
      <c r="O588" s="38"/>
      <c r="P588" s="38"/>
      <c r="Q588" s="38"/>
      <c r="R588" s="38"/>
      <c r="S588" s="3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D588" s="38"/>
      <c r="AE588" s="38"/>
      <c r="AF588" s="38"/>
      <c r="AG588" s="38"/>
      <c r="AH588" s="38"/>
      <c r="AI588" s="38"/>
      <c r="AJ588" s="38"/>
      <c r="AK588" s="38"/>
    </row>
    <row r="589" spans="1:37" s="2" customFormat="1">
      <c r="A589" s="38"/>
      <c r="B589" s="38"/>
      <c r="C589" s="38"/>
      <c r="D589" s="38"/>
      <c r="E589" s="38"/>
      <c r="F589" s="38"/>
      <c r="G589" s="38"/>
      <c r="H589" s="38"/>
      <c r="I589" s="38"/>
      <c r="J589" s="38"/>
      <c r="K589" s="38"/>
      <c r="L589" s="38"/>
      <c r="M589" s="38"/>
      <c r="N589" s="38"/>
      <c r="O589" s="38"/>
      <c r="P589" s="38"/>
      <c r="Q589" s="38"/>
      <c r="R589" s="38"/>
      <c r="S589" s="38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D589" s="38"/>
      <c r="AE589" s="38"/>
      <c r="AF589" s="38"/>
      <c r="AG589" s="38"/>
      <c r="AH589" s="38"/>
      <c r="AI589" s="38"/>
      <c r="AJ589" s="38"/>
      <c r="AK589" s="38"/>
    </row>
    <row r="590" spans="1:37" s="2" customFormat="1">
      <c r="A590" s="38"/>
      <c r="B590" s="38"/>
      <c r="C590" s="38"/>
      <c r="D590" s="38"/>
      <c r="E590" s="38"/>
      <c r="F590" s="38"/>
      <c r="G590" s="38"/>
      <c r="H590" s="38"/>
      <c r="I590" s="38"/>
      <c r="J590" s="38"/>
      <c r="K590" s="38"/>
      <c r="L590" s="38"/>
      <c r="M590" s="38"/>
      <c r="N590" s="38"/>
      <c r="O590" s="38"/>
      <c r="P590" s="38"/>
      <c r="Q590" s="38"/>
      <c r="R590" s="38"/>
      <c r="S590" s="38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D590" s="38"/>
      <c r="AE590" s="38"/>
      <c r="AF590" s="38"/>
      <c r="AG590" s="38"/>
      <c r="AH590" s="38"/>
      <c r="AI590" s="38"/>
      <c r="AJ590" s="38"/>
      <c r="AK590" s="38"/>
    </row>
    <row r="591" spans="1:37" s="2" customFormat="1">
      <c r="A591" s="38"/>
      <c r="B591" s="38"/>
      <c r="C591" s="38"/>
      <c r="D591" s="38"/>
      <c r="E591" s="38"/>
      <c r="F591" s="38"/>
      <c r="G591" s="38"/>
      <c r="H591" s="38"/>
      <c r="I591" s="38"/>
      <c r="J591" s="38"/>
      <c r="K591" s="38"/>
      <c r="L591" s="38"/>
      <c r="M591" s="38"/>
      <c r="N591" s="38"/>
      <c r="O591" s="38"/>
      <c r="P591" s="38"/>
      <c r="Q591" s="38"/>
      <c r="R591" s="38"/>
      <c r="S591" s="38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D591" s="38"/>
      <c r="AE591" s="38"/>
      <c r="AF591" s="38"/>
      <c r="AG591" s="38"/>
      <c r="AH591" s="38"/>
      <c r="AI591" s="38"/>
      <c r="AJ591" s="38"/>
      <c r="AK591" s="38"/>
    </row>
    <row r="592" spans="1:37" s="2" customFormat="1">
      <c r="A592" s="38"/>
      <c r="B592" s="38"/>
      <c r="C592" s="38"/>
      <c r="D592" s="38"/>
      <c r="E592" s="38"/>
      <c r="F592" s="38"/>
      <c r="G592" s="38"/>
      <c r="H592" s="38"/>
      <c r="I592" s="38"/>
      <c r="J592" s="38"/>
      <c r="K592" s="38"/>
      <c r="L592" s="38"/>
      <c r="M592" s="38"/>
      <c r="N592" s="38"/>
      <c r="O592" s="38"/>
      <c r="P592" s="38"/>
      <c r="Q592" s="38"/>
      <c r="R592" s="38"/>
      <c r="S592" s="38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D592" s="38"/>
      <c r="AE592" s="38"/>
      <c r="AF592" s="38"/>
      <c r="AG592" s="38"/>
      <c r="AH592" s="38"/>
      <c r="AI592" s="38"/>
      <c r="AJ592" s="38"/>
      <c r="AK592" s="38"/>
    </row>
    <row r="593" spans="1:37" s="2" customFormat="1">
      <c r="A593" s="38"/>
      <c r="B593" s="38"/>
      <c r="C593" s="38"/>
      <c r="D593" s="38"/>
      <c r="E593" s="38"/>
      <c r="F593" s="38"/>
      <c r="G593" s="38"/>
      <c r="H593" s="38"/>
      <c r="I593" s="38"/>
      <c r="J593" s="38"/>
      <c r="K593" s="38"/>
      <c r="L593" s="38"/>
      <c r="M593" s="38"/>
      <c r="N593" s="38"/>
      <c r="O593" s="38"/>
      <c r="P593" s="38"/>
      <c r="Q593" s="38"/>
      <c r="R593" s="38"/>
      <c r="S593" s="38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D593" s="38"/>
      <c r="AE593" s="38"/>
      <c r="AF593" s="38"/>
      <c r="AG593" s="38"/>
      <c r="AH593" s="38"/>
      <c r="AI593" s="38"/>
      <c r="AJ593" s="38"/>
      <c r="AK593" s="38"/>
    </row>
    <row r="594" spans="1:37" s="2" customFormat="1">
      <c r="A594" s="38"/>
      <c r="B594" s="38"/>
      <c r="C594" s="38"/>
      <c r="D594" s="38"/>
      <c r="E594" s="38"/>
      <c r="F594" s="38"/>
      <c r="G594" s="38"/>
      <c r="H594" s="38"/>
      <c r="I594" s="38"/>
      <c r="J594" s="38"/>
      <c r="K594" s="38"/>
      <c r="L594" s="38"/>
      <c r="M594" s="38"/>
      <c r="N594" s="38"/>
      <c r="O594" s="38"/>
      <c r="P594" s="38"/>
      <c r="Q594" s="38"/>
      <c r="R594" s="38"/>
      <c r="S594" s="38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D594" s="38"/>
      <c r="AE594" s="38"/>
      <c r="AF594" s="38"/>
      <c r="AG594" s="38"/>
      <c r="AH594" s="38"/>
      <c r="AI594" s="38"/>
      <c r="AJ594" s="38"/>
      <c r="AK594" s="38"/>
    </row>
    <row r="595" spans="1:37" s="2" customFormat="1">
      <c r="A595" s="38"/>
      <c r="B595" s="38"/>
      <c r="C595" s="38"/>
      <c r="D595" s="38"/>
      <c r="E595" s="38"/>
      <c r="F595" s="38"/>
      <c r="G595" s="38"/>
      <c r="H595" s="38"/>
      <c r="I595" s="38"/>
      <c r="J595" s="38"/>
      <c r="K595" s="38"/>
      <c r="L595" s="38"/>
      <c r="M595" s="38"/>
      <c r="N595" s="38"/>
      <c r="O595" s="38"/>
      <c r="P595" s="38"/>
      <c r="Q595" s="38"/>
      <c r="R595" s="38"/>
      <c r="S595" s="38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D595" s="38"/>
      <c r="AE595" s="38"/>
      <c r="AF595" s="38"/>
      <c r="AG595" s="38"/>
      <c r="AH595" s="38"/>
      <c r="AI595" s="38"/>
      <c r="AJ595" s="38"/>
      <c r="AK595" s="38"/>
    </row>
    <row r="596" spans="1:37" s="2" customFormat="1">
      <c r="A596" s="38"/>
      <c r="B596" s="38"/>
      <c r="C596" s="38"/>
      <c r="D596" s="38"/>
      <c r="E596" s="38"/>
      <c r="F596" s="38"/>
      <c r="G596" s="38"/>
      <c r="H596" s="38"/>
      <c r="I596" s="38"/>
      <c r="J596" s="38"/>
      <c r="K596" s="38"/>
      <c r="L596" s="38"/>
      <c r="M596" s="38"/>
      <c r="N596" s="38"/>
      <c r="O596" s="38"/>
      <c r="P596" s="38"/>
      <c r="Q596" s="38"/>
      <c r="R596" s="38"/>
      <c r="S596" s="38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D596" s="38"/>
      <c r="AE596" s="38"/>
      <c r="AF596" s="38"/>
      <c r="AG596" s="38"/>
      <c r="AH596" s="38"/>
      <c r="AI596" s="38"/>
      <c r="AJ596" s="38"/>
      <c r="AK596" s="38"/>
    </row>
    <row r="597" spans="1:37" s="2" customFormat="1">
      <c r="A597" s="38"/>
      <c r="B597" s="38"/>
      <c r="C597" s="38"/>
      <c r="D597" s="38"/>
      <c r="E597" s="38"/>
      <c r="F597" s="38"/>
      <c r="G597" s="38"/>
      <c r="H597" s="38"/>
      <c r="I597" s="38"/>
      <c r="J597" s="38"/>
      <c r="K597" s="38"/>
      <c r="L597" s="38"/>
      <c r="M597" s="38"/>
      <c r="N597" s="38"/>
      <c r="O597" s="38"/>
      <c r="P597" s="38"/>
      <c r="Q597" s="38"/>
      <c r="R597" s="38"/>
      <c r="S597" s="38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D597" s="38"/>
      <c r="AE597" s="38"/>
      <c r="AF597" s="38"/>
      <c r="AG597" s="38"/>
      <c r="AH597" s="38"/>
      <c r="AI597" s="38"/>
      <c r="AJ597" s="38"/>
      <c r="AK597" s="38"/>
    </row>
    <row r="598" spans="1:37" s="2" customFormat="1">
      <c r="A598" s="38"/>
      <c r="B598" s="38"/>
      <c r="C598" s="38"/>
      <c r="D598" s="38"/>
      <c r="E598" s="38"/>
      <c r="F598" s="38"/>
      <c r="G598" s="38"/>
      <c r="H598" s="38"/>
      <c r="I598" s="38"/>
      <c r="J598" s="38"/>
      <c r="K598" s="38"/>
      <c r="L598" s="38"/>
      <c r="M598" s="38"/>
      <c r="N598" s="38"/>
      <c r="O598" s="38"/>
      <c r="P598" s="38"/>
      <c r="Q598" s="38"/>
      <c r="R598" s="38"/>
      <c r="S598" s="38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38"/>
      <c r="AE598" s="38"/>
      <c r="AF598" s="38"/>
      <c r="AG598" s="38"/>
      <c r="AH598" s="38"/>
      <c r="AI598" s="38"/>
      <c r="AJ598" s="38"/>
      <c r="AK598" s="38"/>
    </row>
    <row r="599" spans="1:37" s="2" customFormat="1">
      <c r="A599" s="38"/>
      <c r="B599" s="38"/>
      <c r="C599" s="38"/>
      <c r="D599" s="38"/>
      <c r="E599" s="38"/>
      <c r="F599" s="38"/>
      <c r="G599" s="38"/>
      <c r="H599" s="38"/>
      <c r="I599" s="38"/>
      <c r="J599" s="38"/>
      <c r="K599" s="38"/>
      <c r="L599" s="38"/>
      <c r="M599" s="38"/>
      <c r="N599" s="38"/>
      <c r="O599" s="38"/>
      <c r="P599" s="38"/>
      <c r="Q599" s="38"/>
      <c r="R599" s="38"/>
      <c r="S599" s="38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D599" s="38"/>
      <c r="AE599" s="38"/>
      <c r="AF599" s="38"/>
      <c r="AG599" s="38"/>
      <c r="AH599" s="38"/>
      <c r="AI599" s="38"/>
      <c r="AJ599" s="38"/>
      <c r="AK599" s="38"/>
    </row>
    <row r="600" spans="1:37" s="2" customFormat="1">
      <c r="A600" s="38"/>
      <c r="B600" s="38"/>
      <c r="C600" s="38"/>
      <c r="D600" s="38"/>
      <c r="E600" s="38"/>
      <c r="F600" s="38"/>
      <c r="G600" s="38"/>
      <c r="H600" s="38"/>
      <c r="I600" s="38"/>
      <c r="J600" s="38"/>
      <c r="K600" s="38"/>
      <c r="L600" s="38"/>
      <c r="M600" s="38"/>
      <c r="N600" s="38"/>
      <c r="O600" s="38"/>
      <c r="P600" s="38"/>
      <c r="Q600" s="38"/>
      <c r="R600" s="38"/>
      <c r="S600" s="38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D600" s="38"/>
      <c r="AE600" s="38"/>
      <c r="AF600" s="38"/>
      <c r="AG600" s="38"/>
      <c r="AH600" s="38"/>
      <c r="AI600" s="38"/>
      <c r="AJ600" s="38"/>
      <c r="AK600" s="38"/>
    </row>
    <row r="601" spans="1:37" s="2" customFormat="1">
      <c r="A601" s="38"/>
      <c r="B601" s="38"/>
      <c r="C601" s="38"/>
      <c r="D601" s="38"/>
      <c r="E601" s="38"/>
      <c r="F601" s="38"/>
      <c r="G601" s="38"/>
      <c r="H601" s="38"/>
      <c r="I601" s="38"/>
      <c r="J601" s="38"/>
      <c r="K601" s="38"/>
      <c r="L601" s="38"/>
      <c r="M601" s="38"/>
      <c r="N601" s="38"/>
      <c r="O601" s="38"/>
      <c r="P601" s="38"/>
      <c r="Q601" s="38"/>
      <c r="R601" s="38"/>
      <c r="S601" s="38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D601" s="38"/>
      <c r="AE601" s="38"/>
      <c r="AF601" s="38"/>
      <c r="AG601" s="38"/>
      <c r="AH601" s="38"/>
      <c r="AI601" s="38"/>
      <c r="AJ601" s="38"/>
      <c r="AK601" s="38"/>
    </row>
    <row r="602" spans="1:37" s="2" customFormat="1">
      <c r="A602" s="38"/>
      <c r="B602" s="38"/>
      <c r="C602" s="38"/>
      <c r="D602" s="38"/>
      <c r="E602" s="38"/>
      <c r="F602" s="38"/>
      <c r="G602" s="38"/>
      <c r="H602" s="38"/>
      <c r="I602" s="38"/>
      <c r="J602" s="38"/>
      <c r="K602" s="38"/>
      <c r="L602" s="38"/>
      <c r="M602" s="38"/>
      <c r="N602" s="38"/>
      <c r="O602" s="38"/>
      <c r="P602" s="38"/>
      <c r="Q602" s="38"/>
      <c r="R602" s="38"/>
      <c r="S602" s="38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D602" s="38"/>
      <c r="AE602" s="38"/>
      <c r="AF602" s="38"/>
      <c r="AG602" s="38"/>
      <c r="AH602" s="38"/>
      <c r="AI602" s="38"/>
      <c r="AJ602" s="38"/>
      <c r="AK602" s="38"/>
    </row>
    <row r="603" spans="1:37" s="2" customFormat="1">
      <c r="A603" s="38"/>
      <c r="B603" s="38"/>
      <c r="C603" s="38"/>
      <c r="D603" s="38"/>
      <c r="E603" s="38"/>
      <c r="F603" s="38"/>
      <c r="G603" s="38"/>
      <c r="H603" s="38"/>
      <c r="I603" s="38"/>
      <c r="J603" s="38"/>
      <c r="K603" s="38"/>
      <c r="L603" s="38"/>
      <c r="M603" s="38"/>
      <c r="N603" s="38"/>
      <c r="O603" s="38"/>
      <c r="P603" s="38"/>
      <c r="Q603" s="38"/>
      <c r="R603" s="38"/>
      <c r="S603" s="38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D603" s="38"/>
      <c r="AE603" s="38"/>
      <c r="AF603" s="38"/>
      <c r="AG603" s="38"/>
      <c r="AH603" s="38"/>
      <c r="AI603" s="38"/>
      <c r="AJ603" s="38"/>
      <c r="AK603" s="38"/>
    </row>
    <row r="604" spans="1:37" s="2" customFormat="1">
      <c r="A604" s="38"/>
      <c r="B604" s="38"/>
      <c r="C604" s="38"/>
      <c r="D604" s="38"/>
      <c r="E604" s="38"/>
      <c r="F604" s="38"/>
      <c r="G604" s="38"/>
      <c r="H604" s="38"/>
      <c r="I604" s="38"/>
      <c r="J604" s="38"/>
      <c r="K604" s="38"/>
      <c r="L604" s="38"/>
      <c r="M604" s="38"/>
      <c r="N604" s="38"/>
      <c r="O604" s="38"/>
      <c r="P604" s="38"/>
      <c r="Q604" s="38"/>
      <c r="R604" s="38"/>
      <c r="S604" s="38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D604" s="38"/>
      <c r="AE604" s="38"/>
      <c r="AF604" s="38"/>
      <c r="AG604" s="38"/>
      <c r="AH604" s="38"/>
      <c r="AI604" s="38"/>
      <c r="AJ604" s="38"/>
      <c r="AK604" s="38"/>
    </row>
    <row r="605" spans="1:37" s="2" customFormat="1">
      <c r="A605" s="38"/>
      <c r="B605" s="38"/>
      <c r="C605" s="38"/>
      <c r="D605" s="38"/>
      <c r="E605" s="38"/>
      <c r="F605" s="38"/>
      <c r="G605" s="38"/>
      <c r="H605" s="38"/>
      <c r="I605" s="38"/>
      <c r="J605" s="38"/>
      <c r="K605" s="38"/>
      <c r="L605" s="38"/>
      <c r="M605" s="38"/>
      <c r="N605" s="38"/>
      <c r="O605" s="38"/>
      <c r="P605" s="38"/>
      <c r="Q605" s="38"/>
      <c r="R605" s="38"/>
      <c r="S605" s="38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D605" s="38"/>
      <c r="AE605" s="38"/>
      <c r="AF605" s="38"/>
      <c r="AG605" s="38"/>
      <c r="AH605" s="38"/>
      <c r="AI605" s="38"/>
      <c r="AJ605" s="38"/>
      <c r="AK605" s="38"/>
    </row>
    <row r="606" spans="1:37" s="2" customFormat="1">
      <c r="A606" s="38"/>
      <c r="B606" s="38"/>
      <c r="C606" s="38"/>
      <c r="D606" s="38"/>
      <c r="E606" s="38"/>
      <c r="F606" s="38"/>
      <c r="G606" s="38"/>
      <c r="H606" s="38"/>
      <c r="I606" s="38"/>
      <c r="J606" s="38"/>
      <c r="K606" s="38"/>
      <c r="L606" s="38"/>
      <c r="M606" s="38"/>
      <c r="N606" s="38"/>
      <c r="O606" s="38"/>
      <c r="P606" s="38"/>
      <c r="Q606" s="38"/>
      <c r="R606" s="38"/>
      <c r="S606" s="38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D606" s="38"/>
      <c r="AE606" s="38"/>
      <c r="AF606" s="38"/>
      <c r="AG606" s="38"/>
      <c r="AH606" s="38"/>
      <c r="AI606" s="38"/>
      <c r="AJ606" s="38"/>
      <c r="AK606" s="38"/>
    </row>
    <row r="607" spans="1:37" s="2" customFormat="1">
      <c r="A607" s="38"/>
      <c r="B607" s="38"/>
      <c r="C607" s="38"/>
      <c r="D607" s="38"/>
      <c r="E607" s="38"/>
      <c r="F607" s="38"/>
      <c r="G607" s="38"/>
      <c r="H607" s="38"/>
      <c r="I607" s="38"/>
      <c r="J607" s="38"/>
      <c r="K607" s="38"/>
      <c r="L607" s="38"/>
      <c r="M607" s="38"/>
      <c r="N607" s="38"/>
      <c r="O607" s="38"/>
      <c r="P607" s="38"/>
      <c r="Q607" s="38"/>
      <c r="R607" s="38"/>
      <c r="S607" s="38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D607" s="38"/>
      <c r="AE607" s="38"/>
      <c r="AF607" s="38"/>
      <c r="AG607" s="38"/>
      <c r="AH607" s="38"/>
      <c r="AI607" s="38"/>
      <c r="AJ607" s="38"/>
      <c r="AK607" s="38"/>
    </row>
    <row r="608" spans="1:37" s="2" customFormat="1">
      <c r="A608" s="38"/>
      <c r="B608" s="38"/>
      <c r="C608" s="38"/>
      <c r="D608" s="38"/>
      <c r="E608" s="38"/>
      <c r="F608" s="38"/>
      <c r="G608" s="38"/>
      <c r="H608" s="38"/>
      <c r="I608" s="38"/>
      <c r="J608" s="38"/>
      <c r="K608" s="38"/>
      <c r="L608" s="38"/>
      <c r="M608" s="38"/>
      <c r="N608" s="38"/>
      <c r="O608" s="38"/>
      <c r="P608" s="38"/>
      <c r="Q608" s="38"/>
      <c r="R608" s="38"/>
      <c r="S608" s="38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D608" s="38"/>
      <c r="AE608" s="38"/>
      <c r="AF608" s="38"/>
      <c r="AG608" s="38"/>
      <c r="AH608" s="38"/>
      <c r="AI608" s="38"/>
      <c r="AJ608" s="38"/>
      <c r="AK608" s="38"/>
    </row>
    <row r="609" spans="1:37" s="2" customFormat="1">
      <c r="A609" s="38"/>
      <c r="B609" s="38"/>
      <c r="C609" s="38"/>
      <c r="D609" s="38"/>
      <c r="E609" s="38"/>
      <c r="F609" s="38"/>
      <c r="G609" s="38"/>
      <c r="H609" s="38"/>
      <c r="I609" s="38"/>
      <c r="J609" s="38"/>
      <c r="K609" s="38"/>
      <c r="L609" s="38"/>
      <c r="M609" s="38"/>
      <c r="N609" s="38"/>
      <c r="O609" s="38"/>
      <c r="P609" s="38"/>
      <c r="Q609" s="38"/>
      <c r="R609" s="38"/>
      <c r="S609" s="38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D609" s="38"/>
      <c r="AE609" s="38"/>
      <c r="AF609" s="38"/>
      <c r="AG609" s="38"/>
      <c r="AH609" s="38"/>
      <c r="AI609" s="38"/>
      <c r="AJ609" s="38"/>
      <c r="AK609" s="38"/>
    </row>
    <row r="610" spans="1:37" s="2" customFormat="1">
      <c r="A610" s="38"/>
      <c r="B610" s="38"/>
      <c r="C610" s="38"/>
      <c r="D610" s="38"/>
      <c r="E610" s="38"/>
      <c r="F610" s="38"/>
      <c r="G610" s="38"/>
      <c r="H610" s="38"/>
      <c r="I610" s="38"/>
      <c r="J610" s="38"/>
      <c r="K610" s="38"/>
      <c r="L610" s="38"/>
      <c r="M610" s="38"/>
      <c r="N610" s="38"/>
      <c r="O610" s="38"/>
      <c r="P610" s="38"/>
      <c r="Q610" s="38"/>
      <c r="R610" s="38"/>
      <c r="S610" s="38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D610" s="38"/>
      <c r="AE610" s="38"/>
      <c r="AF610" s="38"/>
      <c r="AG610" s="38"/>
      <c r="AH610" s="38"/>
      <c r="AI610" s="38"/>
      <c r="AJ610" s="38"/>
      <c r="AK610" s="38"/>
    </row>
    <row r="611" spans="1:37" s="2" customFormat="1">
      <c r="A611" s="38"/>
      <c r="B611" s="38"/>
      <c r="C611" s="38"/>
      <c r="D611" s="38"/>
      <c r="E611" s="38"/>
      <c r="F611" s="38"/>
      <c r="G611" s="38"/>
      <c r="H611" s="38"/>
      <c r="I611" s="38"/>
      <c r="J611" s="38"/>
      <c r="K611" s="38"/>
      <c r="L611" s="38"/>
      <c r="M611" s="38"/>
      <c r="N611" s="38"/>
      <c r="O611" s="38"/>
      <c r="P611" s="38"/>
      <c r="Q611" s="38"/>
      <c r="R611" s="38"/>
      <c r="S611" s="38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D611" s="38"/>
      <c r="AE611" s="38"/>
      <c r="AF611" s="38"/>
      <c r="AG611" s="38"/>
      <c r="AH611" s="38"/>
      <c r="AI611" s="38"/>
      <c r="AJ611" s="38"/>
      <c r="AK611" s="38"/>
    </row>
    <row r="612" spans="1:37" s="2" customFormat="1">
      <c r="A612" s="38"/>
      <c r="B612" s="38"/>
      <c r="C612" s="38"/>
      <c r="D612" s="38"/>
      <c r="E612" s="38"/>
      <c r="F612" s="38"/>
      <c r="G612" s="38"/>
      <c r="H612" s="38"/>
      <c r="I612" s="38"/>
      <c r="J612" s="38"/>
      <c r="K612" s="38"/>
      <c r="L612" s="38"/>
      <c r="M612" s="38"/>
      <c r="N612" s="38"/>
      <c r="O612" s="38"/>
      <c r="P612" s="38"/>
      <c r="Q612" s="38"/>
      <c r="R612" s="38"/>
      <c r="S612" s="38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D612" s="38"/>
      <c r="AE612" s="38"/>
      <c r="AF612" s="38"/>
      <c r="AG612" s="38"/>
      <c r="AH612" s="38"/>
      <c r="AI612" s="38"/>
      <c r="AJ612" s="38"/>
      <c r="AK612" s="38"/>
    </row>
    <row r="613" spans="1:37" s="2" customFormat="1">
      <c r="A613" s="38"/>
      <c r="B613" s="38"/>
      <c r="C613" s="38"/>
      <c r="D613" s="38"/>
      <c r="E613" s="38"/>
      <c r="F613" s="38"/>
      <c r="G613" s="38"/>
      <c r="H613" s="38"/>
      <c r="I613" s="38"/>
      <c r="J613" s="38"/>
      <c r="K613" s="38"/>
      <c r="L613" s="38"/>
      <c r="M613" s="38"/>
      <c r="N613" s="38"/>
      <c r="O613" s="38"/>
      <c r="P613" s="38"/>
      <c r="Q613" s="38"/>
      <c r="R613" s="38"/>
      <c r="S613" s="38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D613" s="38"/>
      <c r="AE613" s="38"/>
      <c r="AF613" s="38"/>
      <c r="AG613" s="38"/>
      <c r="AH613" s="38"/>
      <c r="AI613" s="38"/>
      <c r="AJ613" s="38"/>
      <c r="AK613" s="38"/>
    </row>
    <row r="614" spans="1:37" s="2" customFormat="1">
      <c r="A614" s="38"/>
      <c r="B614" s="38"/>
      <c r="C614" s="38"/>
      <c r="D614" s="38"/>
      <c r="E614" s="38"/>
      <c r="F614" s="38"/>
      <c r="G614" s="38"/>
      <c r="H614" s="38"/>
      <c r="I614" s="38"/>
      <c r="J614" s="38"/>
      <c r="K614" s="38"/>
      <c r="L614" s="38"/>
      <c r="M614" s="38"/>
      <c r="N614" s="38"/>
      <c r="O614" s="38"/>
      <c r="P614" s="38"/>
      <c r="Q614" s="38"/>
      <c r="R614" s="38"/>
      <c r="S614" s="38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D614" s="38"/>
      <c r="AE614" s="38"/>
      <c r="AF614" s="38"/>
      <c r="AG614" s="38"/>
      <c r="AH614" s="38"/>
      <c r="AI614" s="38"/>
      <c r="AJ614" s="38"/>
      <c r="AK614" s="38"/>
    </row>
    <row r="615" spans="1:37" s="2" customFormat="1">
      <c r="A615" s="38"/>
      <c r="B615" s="38"/>
      <c r="C615" s="38"/>
      <c r="D615" s="38"/>
      <c r="E615" s="38"/>
      <c r="F615" s="38"/>
      <c r="G615" s="38"/>
      <c r="H615" s="38"/>
      <c r="I615" s="38"/>
      <c r="J615" s="38"/>
      <c r="K615" s="38"/>
      <c r="L615" s="38"/>
      <c r="M615" s="38"/>
      <c r="N615" s="38"/>
      <c r="O615" s="38"/>
      <c r="P615" s="38"/>
      <c r="Q615" s="38"/>
      <c r="R615" s="38"/>
      <c r="S615" s="38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D615" s="38"/>
      <c r="AE615" s="38"/>
      <c r="AF615" s="38"/>
      <c r="AG615" s="38"/>
      <c r="AH615" s="38"/>
      <c r="AI615" s="38"/>
      <c r="AJ615" s="38"/>
      <c r="AK615" s="38"/>
    </row>
    <row r="616" spans="1:37" s="2" customFormat="1">
      <c r="A616" s="38"/>
      <c r="B616" s="38"/>
      <c r="C616" s="38"/>
      <c r="D616" s="38"/>
      <c r="E616" s="38"/>
      <c r="F616" s="38"/>
      <c r="G616" s="38"/>
      <c r="H616" s="38"/>
      <c r="I616" s="38"/>
      <c r="J616" s="38"/>
      <c r="K616" s="38"/>
      <c r="L616" s="38"/>
      <c r="M616" s="38"/>
      <c r="N616" s="38"/>
      <c r="O616" s="38"/>
      <c r="P616" s="38"/>
      <c r="Q616" s="38"/>
      <c r="R616" s="38"/>
      <c r="S616" s="38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D616" s="38"/>
      <c r="AE616" s="38"/>
      <c r="AF616" s="38"/>
      <c r="AG616" s="38"/>
      <c r="AH616" s="38"/>
      <c r="AI616" s="38"/>
      <c r="AJ616" s="38"/>
      <c r="AK616" s="38"/>
    </row>
    <row r="617" spans="1:37" s="2" customFormat="1">
      <c r="A617" s="38"/>
      <c r="B617" s="38"/>
      <c r="C617" s="38"/>
      <c r="D617" s="38"/>
      <c r="E617" s="38"/>
      <c r="F617" s="38"/>
      <c r="G617" s="38"/>
      <c r="H617" s="38"/>
      <c r="I617" s="38"/>
      <c r="J617" s="38"/>
      <c r="K617" s="38"/>
      <c r="L617" s="38"/>
      <c r="M617" s="38"/>
      <c r="N617" s="38"/>
      <c r="O617" s="38"/>
      <c r="P617" s="38"/>
      <c r="Q617" s="38"/>
      <c r="R617" s="38"/>
      <c r="S617" s="38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D617" s="38"/>
      <c r="AE617" s="38"/>
      <c r="AF617" s="38"/>
      <c r="AG617" s="38"/>
      <c r="AH617" s="38"/>
      <c r="AI617" s="38"/>
      <c r="AJ617" s="38"/>
      <c r="AK617" s="38"/>
    </row>
    <row r="618" spans="1:37" s="2" customFormat="1">
      <c r="A618" s="38"/>
      <c r="B618" s="38"/>
      <c r="C618" s="38"/>
      <c r="D618" s="38"/>
      <c r="E618" s="38"/>
      <c r="F618" s="38"/>
      <c r="G618" s="38"/>
      <c r="H618" s="38"/>
      <c r="I618" s="38"/>
      <c r="J618" s="38"/>
      <c r="K618" s="38"/>
      <c r="L618" s="38"/>
      <c r="M618" s="38"/>
      <c r="N618" s="38"/>
      <c r="O618" s="38"/>
      <c r="P618" s="38"/>
      <c r="Q618" s="38"/>
      <c r="R618" s="38"/>
      <c r="S618" s="38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D618" s="38"/>
      <c r="AE618" s="38"/>
      <c r="AF618" s="38"/>
      <c r="AG618" s="38"/>
      <c r="AH618" s="38"/>
      <c r="AI618" s="38"/>
      <c r="AJ618" s="38"/>
      <c r="AK618" s="38"/>
    </row>
    <row r="619" spans="1:37" s="2" customFormat="1">
      <c r="A619" s="38"/>
      <c r="B619" s="38"/>
      <c r="C619" s="38"/>
      <c r="D619" s="38"/>
      <c r="E619" s="38"/>
      <c r="F619" s="38"/>
      <c r="G619" s="38"/>
      <c r="H619" s="38"/>
      <c r="I619" s="38"/>
      <c r="J619" s="38"/>
      <c r="K619" s="38"/>
      <c r="L619" s="38"/>
      <c r="M619" s="38"/>
      <c r="N619" s="38"/>
      <c r="O619" s="38"/>
      <c r="P619" s="38"/>
      <c r="Q619" s="38"/>
      <c r="R619" s="38"/>
      <c r="S619" s="38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D619" s="38"/>
      <c r="AE619" s="38"/>
      <c r="AF619" s="38"/>
      <c r="AG619" s="38"/>
      <c r="AH619" s="38"/>
      <c r="AI619" s="38"/>
      <c r="AJ619" s="38"/>
      <c r="AK619" s="38"/>
    </row>
    <row r="620" spans="1:37" s="2" customFormat="1">
      <c r="A620" s="38"/>
      <c r="B620" s="38"/>
      <c r="C620" s="38"/>
      <c r="D620" s="38"/>
      <c r="E620" s="38"/>
      <c r="F620" s="38"/>
      <c r="G620" s="38"/>
      <c r="H620" s="38"/>
      <c r="I620" s="38"/>
      <c r="J620" s="38"/>
      <c r="K620" s="38"/>
      <c r="L620" s="38"/>
      <c r="M620" s="38"/>
      <c r="N620" s="38"/>
      <c r="O620" s="38"/>
      <c r="P620" s="38"/>
      <c r="Q620" s="38"/>
      <c r="R620" s="38"/>
      <c r="S620" s="38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D620" s="38"/>
      <c r="AE620" s="38"/>
      <c r="AF620" s="38"/>
      <c r="AG620" s="38"/>
      <c r="AH620" s="38"/>
      <c r="AI620" s="38"/>
      <c r="AJ620" s="38"/>
      <c r="AK620" s="38"/>
    </row>
    <row r="621" spans="1:37" s="2" customFormat="1">
      <c r="A621" s="38"/>
      <c r="B621" s="38"/>
      <c r="C621" s="38"/>
      <c r="D621" s="38"/>
      <c r="E621" s="38"/>
      <c r="F621" s="38"/>
      <c r="G621" s="38"/>
      <c r="H621" s="38"/>
      <c r="I621" s="38"/>
      <c r="J621" s="38"/>
      <c r="K621" s="38"/>
      <c r="L621" s="38"/>
      <c r="M621" s="38"/>
      <c r="N621" s="38"/>
      <c r="O621" s="38"/>
      <c r="P621" s="38"/>
      <c r="Q621" s="38"/>
      <c r="R621" s="38"/>
      <c r="S621" s="38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D621" s="38"/>
      <c r="AE621" s="38"/>
      <c r="AF621" s="38"/>
      <c r="AG621" s="38"/>
      <c r="AH621" s="38"/>
      <c r="AI621" s="38"/>
      <c r="AJ621" s="38"/>
      <c r="AK621" s="38"/>
    </row>
    <row r="622" spans="1:37" s="2" customFormat="1">
      <c r="A622" s="38"/>
      <c r="B622" s="38"/>
      <c r="C622" s="38"/>
      <c r="D622" s="38"/>
      <c r="E622" s="38"/>
      <c r="F622" s="38"/>
      <c r="G622" s="38"/>
      <c r="H622" s="38"/>
      <c r="I622" s="38"/>
      <c r="J622" s="38"/>
      <c r="K622" s="38"/>
      <c r="L622" s="38"/>
      <c r="M622" s="38"/>
      <c r="N622" s="38"/>
      <c r="O622" s="38"/>
      <c r="P622" s="38"/>
      <c r="Q622" s="38"/>
      <c r="R622" s="38"/>
      <c r="S622" s="38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D622" s="38"/>
      <c r="AE622" s="38"/>
      <c r="AF622" s="38"/>
      <c r="AG622" s="38"/>
      <c r="AH622" s="38"/>
      <c r="AI622" s="38"/>
      <c r="AJ622" s="38"/>
      <c r="AK622" s="38"/>
    </row>
    <row r="623" spans="1:37" s="2" customFormat="1">
      <c r="A623" s="38"/>
      <c r="B623" s="38"/>
      <c r="C623" s="38"/>
      <c r="D623" s="38"/>
      <c r="E623" s="38"/>
      <c r="F623" s="38"/>
      <c r="G623" s="38"/>
      <c r="H623" s="38"/>
      <c r="I623" s="38"/>
      <c r="J623" s="38"/>
      <c r="K623" s="38"/>
      <c r="L623" s="38"/>
      <c r="M623" s="38"/>
      <c r="N623" s="38"/>
      <c r="O623" s="38"/>
      <c r="P623" s="38"/>
      <c r="Q623" s="38"/>
      <c r="R623" s="38"/>
      <c r="S623" s="38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D623" s="38"/>
      <c r="AE623" s="38"/>
      <c r="AF623" s="38"/>
      <c r="AG623" s="38"/>
      <c r="AH623" s="38"/>
      <c r="AI623" s="38"/>
      <c r="AJ623" s="38"/>
      <c r="AK623" s="38"/>
    </row>
    <row r="624" spans="1:37" s="2" customFormat="1">
      <c r="A624" s="38"/>
      <c r="B624" s="38"/>
      <c r="C624" s="38"/>
      <c r="D624" s="38"/>
      <c r="E624" s="38"/>
      <c r="F624" s="38"/>
      <c r="G624" s="38"/>
      <c r="H624" s="38"/>
      <c r="I624" s="38"/>
      <c r="J624" s="38"/>
      <c r="K624" s="38"/>
      <c r="L624" s="38"/>
      <c r="M624" s="38"/>
      <c r="N624" s="38"/>
      <c r="O624" s="38"/>
      <c r="P624" s="38"/>
      <c r="Q624" s="38"/>
      <c r="R624" s="38"/>
      <c r="S624" s="38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D624" s="38"/>
      <c r="AE624" s="38"/>
      <c r="AF624" s="38"/>
      <c r="AG624" s="38"/>
      <c r="AH624" s="38"/>
      <c r="AI624" s="38"/>
      <c r="AJ624" s="38"/>
      <c r="AK624" s="38"/>
    </row>
    <row r="625" spans="1:37" s="2" customFormat="1">
      <c r="A625" s="38"/>
      <c r="B625" s="38"/>
      <c r="C625" s="38"/>
      <c r="D625" s="38"/>
      <c r="E625" s="38"/>
      <c r="F625" s="38"/>
      <c r="G625" s="38"/>
      <c r="H625" s="38"/>
      <c r="I625" s="38"/>
      <c r="J625" s="38"/>
      <c r="K625" s="38"/>
      <c r="L625" s="38"/>
      <c r="M625" s="38"/>
      <c r="N625" s="38"/>
      <c r="O625" s="38"/>
      <c r="P625" s="38"/>
      <c r="Q625" s="38"/>
      <c r="R625" s="38"/>
      <c r="S625" s="38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D625" s="38"/>
      <c r="AE625" s="38"/>
      <c r="AF625" s="38"/>
      <c r="AG625" s="38"/>
      <c r="AH625" s="38"/>
      <c r="AI625" s="38"/>
      <c r="AJ625" s="38"/>
      <c r="AK625" s="38"/>
    </row>
    <row r="626" spans="1:37" s="2" customFormat="1">
      <c r="A626" s="38"/>
      <c r="B626" s="38"/>
      <c r="C626" s="38"/>
      <c r="D626" s="38"/>
      <c r="E626" s="38"/>
      <c r="F626" s="38"/>
      <c r="G626" s="38"/>
      <c r="H626" s="38"/>
      <c r="I626" s="38"/>
      <c r="J626" s="38"/>
      <c r="K626" s="38"/>
      <c r="L626" s="38"/>
      <c r="M626" s="38"/>
      <c r="N626" s="38"/>
      <c r="O626" s="38"/>
      <c r="P626" s="38"/>
      <c r="Q626" s="38"/>
      <c r="R626" s="38"/>
      <c r="S626" s="38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D626" s="38"/>
      <c r="AE626" s="38"/>
      <c r="AF626" s="38"/>
      <c r="AG626" s="38"/>
      <c r="AH626" s="38"/>
      <c r="AI626" s="38"/>
      <c r="AJ626" s="38"/>
      <c r="AK626" s="38"/>
    </row>
  </sheetData>
  <mergeCells count="37">
    <mergeCell ref="C21:E21"/>
    <mergeCell ref="A1:K1"/>
    <mergeCell ref="A3:K4"/>
    <mergeCell ref="B5:C5"/>
    <mergeCell ref="B6:C6"/>
    <mergeCell ref="A7:K9"/>
    <mergeCell ref="C11:K11"/>
    <mergeCell ref="C13:K13"/>
    <mergeCell ref="A15:B17"/>
    <mergeCell ref="C15:K17"/>
    <mergeCell ref="A19:K19"/>
    <mergeCell ref="C20:K20"/>
    <mergeCell ref="A44:I44"/>
    <mergeCell ref="A24:I24"/>
    <mergeCell ref="A27:I27"/>
    <mergeCell ref="A28:I28"/>
    <mergeCell ref="A31:K31"/>
    <mergeCell ref="B32:D32"/>
    <mergeCell ref="C34:D34"/>
    <mergeCell ref="B36:D36"/>
    <mergeCell ref="B39:D39"/>
    <mergeCell ref="A41:K41"/>
    <mergeCell ref="B42:H42"/>
    <mergeCell ref="B43:H43"/>
    <mergeCell ref="E65:F65"/>
    <mergeCell ref="G65:H65"/>
    <mergeCell ref="A45:I45"/>
    <mergeCell ref="A46:I46"/>
    <mergeCell ref="A47:I47"/>
    <mergeCell ref="A50:I50"/>
    <mergeCell ref="A51:I51"/>
    <mergeCell ref="A52:I52"/>
    <mergeCell ref="E61:F61"/>
    <mergeCell ref="G61:H61"/>
    <mergeCell ref="E62:F62"/>
    <mergeCell ref="E63:F63"/>
    <mergeCell ref="E64:F64"/>
  </mergeCell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9E487C1B5A6A7469ECF295E300FC521" ma:contentTypeVersion="14" ma:contentTypeDescription="Crie um novo documento." ma:contentTypeScope="" ma:versionID="0960ac6fc61b40489ab078022ce7de8d">
  <xsd:schema xmlns:xsd="http://www.w3.org/2001/XMLSchema" xmlns:xs="http://www.w3.org/2001/XMLSchema" xmlns:p="http://schemas.microsoft.com/office/2006/metadata/properties" xmlns:ns2="509bbd28-9a6d-445a-83dd-f5d328eece76" xmlns:ns3="903036b2-f8dc-4ca8-82df-457cf2fff651" xmlns:ns4="461c5b05-e7ae-45a9-96d4-4a689e060405" targetNamespace="http://schemas.microsoft.com/office/2006/metadata/properties" ma:root="true" ma:fieldsID="d2f069df8fef6df821bd87bc04dd1b2c" ns2:_="" ns3:_="" ns4:_="">
    <xsd:import namespace="509bbd28-9a6d-445a-83dd-f5d328eece76"/>
    <xsd:import namespace="903036b2-f8dc-4ca8-82df-457cf2fff651"/>
    <xsd:import namespace="461c5b05-e7ae-45a9-96d4-4a689e0604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4:lcf76f155ced4ddcb4097134ff3c332f" minOccurs="0"/>
                <xsd:element ref="ns3:TaxCatchAll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ObjectDetectorVersions" minOccurs="0"/>
                <xsd:element ref="ns4:MediaLengthInSeconds" minOccurs="0"/>
                <xsd:element ref="ns4:MediaServiceDateTaken" minOccurs="0"/>
                <xsd:element ref="ns4:MediaServiceLocation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9bbd28-9a6d-445a-83dd-f5d328eece7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3036b2-f8dc-4ca8-82df-457cf2fff65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671d7225-7c32-4489-b6da-c381a375bb6a}" ma:internalName="TaxCatchAll" ma:showField="CatchAllData" ma:web="903036b2-f8dc-4ca8-82df-457cf2fff65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1c5b05-e7ae-45a9-96d4-4a689e060405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5103c4ab-04ed-4a1f-bb47-9362306674c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03036b2-f8dc-4ca8-82df-457cf2fff651" xsi:nil="true"/>
    <lcf76f155ced4ddcb4097134ff3c332f xmlns="461c5b05-e7ae-45a9-96d4-4a689e060405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D96F937-5ADC-4BAE-8C3B-C9E25CCF0DBF}"/>
</file>

<file path=customXml/itemProps2.xml><?xml version="1.0" encoding="utf-8"?>
<ds:datastoreItem xmlns:ds="http://schemas.openxmlformats.org/officeDocument/2006/customXml" ds:itemID="{C75E2B93-2283-4118-8B1C-0EC10E190620}"/>
</file>

<file path=customXml/itemProps3.xml><?xml version="1.0" encoding="utf-8"?>
<ds:datastoreItem xmlns:ds="http://schemas.openxmlformats.org/officeDocument/2006/customXml" ds:itemID="{A96A5233-7778-4B54-912D-AFA6F03A405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Nathalia Nascimento</dc:creator>
  <cp:keywords/>
  <dc:description/>
  <cp:lastModifiedBy>Daniel Wanderley</cp:lastModifiedBy>
  <cp:revision/>
  <dcterms:created xsi:type="dcterms:W3CDTF">2023-08-09T12:58:42Z</dcterms:created>
  <dcterms:modified xsi:type="dcterms:W3CDTF">2024-10-03T18:29:58Z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2023-08-09T12:58:42Z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4c21d3da-00e7-4745-8d6e-8966e782be88</vt:lpwstr>
  </property>
  <property fmtid="{D5CDD505-2E9C-101B-9397-08002B2CF9AE}" pid="8" name="MSIP_Label_8caabacf-b917-4a45-9a5f-ed3a53d2eeb7_ContentBits">
    <vt:lpwstr>0</vt:lpwstr>
  </property>
  <property fmtid="{D5CDD505-2E9C-101B-9397-08002B2CF9AE}" pid="9" name="ContentTypeId">
    <vt:lpwstr>0x01010069E487C1B5A6A7469ECF295E300FC521</vt:lpwstr>
  </property>
  <property fmtid="{D5CDD505-2E9C-101B-9397-08002B2CF9AE}" pid="10" name="MediaServiceImageTags">
    <vt:lpwstr/>
  </property>
</Properties>
</file>