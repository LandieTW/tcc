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wanderley\Digicorner\BVP Cloud - 2762\1-Referências Técnicas\"/>
    </mc:Choice>
  </mc:AlternateContent>
  <xr:revisionPtr revIDLastSave="0" documentId="13_ncr:1_{838ACC97-0301-4E6E-A6EE-F6A26C3F3785}" xr6:coauthVersionLast="47" xr6:coauthVersionMax="47" xr10:uidLastSave="{00000000-0000-0000-0000-000000000000}"/>
  <bookViews>
    <workbookView xWindow="-120" yWindow="-120" windowWidth="29040" windowHeight="1584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/>
  <c r="AK55" i="2"/>
  <c r="AI55" i="2"/>
  <c r="AK54" i="2"/>
  <c r="AI54" i="2" s="1"/>
  <c r="AK49" i="2"/>
  <c r="AI49" i="2" s="1"/>
  <c r="AK28" i="2"/>
  <c r="AI28" i="2" s="1"/>
  <c r="AK26" i="2"/>
  <c r="AI26" i="2" s="1"/>
  <c r="AK48" i="2"/>
  <c r="AI48" i="2"/>
  <c r="AK23" i="2"/>
  <c r="AI23" i="2" s="1"/>
  <c r="AK22" i="2"/>
  <c r="AI22" i="2" s="1"/>
  <c r="AK21" i="2"/>
  <c r="AI21" i="2" s="1"/>
  <c r="AK43" i="2"/>
  <c r="AI43" i="2"/>
  <c r="AK40" i="2"/>
  <c r="AI40" i="2"/>
  <c r="AK39" i="2"/>
  <c r="AI39" i="2" s="1"/>
  <c r="AK18" i="2"/>
  <c r="AI18" i="2" s="1"/>
  <c r="AK38" i="2"/>
  <c r="AI38" i="2" s="1"/>
  <c r="AK11" i="2"/>
  <c r="AI11" i="2" s="1"/>
  <c r="AK37" i="2"/>
  <c r="AI37" i="2"/>
  <c r="AK36" i="2"/>
  <c r="AI36" i="2"/>
  <c r="AK35" i="2"/>
  <c r="AI35" i="2" s="1"/>
  <c r="AK34" i="2"/>
  <c r="AI34" i="2"/>
  <c r="AK33" i="2"/>
  <c r="AI33" i="2"/>
  <c r="AK32" i="2"/>
  <c r="AI32" i="2" s="1"/>
  <c r="AK31" i="2"/>
  <c r="AI31" i="2" s="1"/>
  <c r="AK30" i="2"/>
  <c r="AI30" i="2"/>
  <c r="AK29" i="2"/>
  <c r="AI29" i="2" s="1"/>
  <c r="AK27" i="2"/>
  <c r="AI27" i="2"/>
  <c r="AK25" i="2"/>
  <c r="AI25" i="2" s="1"/>
  <c r="AK24" i="2"/>
  <c r="AI24" i="2" s="1"/>
  <c r="Q21" i="2"/>
  <c r="AK20" i="2"/>
  <c r="AI20" i="2"/>
  <c r="Q20" i="2"/>
  <c r="AK19" i="2"/>
  <c r="AI19" i="2"/>
  <c r="Q19" i="2"/>
  <c r="Q18" i="2"/>
  <c r="AK17" i="2"/>
  <c r="AI17" i="2" s="1"/>
  <c r="Q17" i="2"/>
  <c r="AK16" i="2"/>
  <c r="AI16" i="2"/>
  <c r="Q16" i="2"/>
  <c r="AK15" i="2"/>
  <c r="AI15" i="2"/>
  <c r="Q15" i="2"/>
  <c r="AK14" i="2"/>
  <c r="AI14" i="2"/>
  <c r="Q14" i="2"/>
  <c r="AK13" i="2"/>
  <c r="AI13" i="2" s="1"/>
  <c r="Q13" i="2"/>
  <c r="AK12" i="2"/>
  <c r="AI12" i="2" s="1"/>
  <c r="Q12" i="2"/>
  <c r="Q11" i="2"/>
  <c r="AK10" i="2"/>
  <c r="AI10" i="2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/>
    </comment>
    <comment ref="F37" authorId="0" shapeId="0" xr:uid="{E62C72E8-9D93-4B02-8579-C94C5E7F8577}">
      <text/>
    </comment>
    <comment ref="G37" authorId="0" shapeId="0" xr:uid="{BB0C6ED1-DE7B-40CD-A485-443408D5399A}">
      <text/>
    </comment>
    <comment ref="H37" authorId="0" shapeId="0" xr:uid="{CC93C620-E91F-4A7B-A5D2-BB4D2AD24236}">
      <text/>
    </comment>
    <comment ref="I37" authorId="0" shapeId="0" xr:uid="{64B094A2-2E1B-4DBD-B086-55FEA16188D1}">
      <text/>
    </comment>
    <comment ref="J37" authorId="0" shapeId="0" xr:uid="{E40922A5-90D6-40FC-AAED-5EFA069F7185}">
      <text/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/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/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/>
    </comment>
    <comment ref="I63" authorId="0" shapeId="0" xr:uid="{74A5DA25-C9DB-4893-A959-B86258A25A24}">
      <text/>
    </comment>
    <comment ref="J63" authorId="0" shapeId="0" xr:uid="{F2741E79-A3FA-4AE6-8F09-581A1F280001}">
      <text/>
    </comment>
  </commentList>
</comments>
</file>

<file path=xl/sharedStrings.xml><?xml version="1.0" encoding="utf-8"?>
<sst xmlns="http://schemas.openxmlformats.org/spreadsheetml/2006/main" count="160" uniqueCount="155">
  <si>
    <t>RT de CVD / CHD / DCVD Rev.5</t>
  </si>
  <si>
    <t>Chave</t>
  </si>
  <si>
    <t>Valor</t>
  </si>
  <si>
    <t>Formulas</t>
  </si>
  <si>
    <t>LDA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</si>
  <si>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</si>
  <si>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</si>
  <si>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</si>
  <si>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</si>
  <si>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</si>
  <si>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</si>
  <si>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</si>
  <si>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PLANILHA_EQSB_REV</t>
  </si>
  <si>
    <t>EQUIPAMENTO_SUBMARINO</t>
  </si>
  <si>
    <t>RL_ARQUIVO</t>
  </si>
  <si>
    <t>RL_REV</t>
  </si>
  <si>
    <t>MCV_PESO_AR</t>
  </si>
  <si>
    <t>Pasta com inputs:</t>
  </si>
  <si>
    <t>MCV_PESO_AGUA</t>
  </si>
  <si>
    <t>MCV_COTA_A</t>
  </si>
  <si>
    <t>Título do estudo:</t>
  </si>
  <si>
    <t>MCV_COTA_B</t>
  </si>
  <si>
    <t>MCV_COTA_C</t>
  </si>
  <si>
    <t>Comentários: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</si>
  <si>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</si>
  <si>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</si>
  <si>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</si>
  <si>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</si>
  <si>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</si>
  <si>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</si>
  <si>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</si>
  <si>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TRAMO_CURVA_HISTERESE</t>
  </si>
  <si>
    <t>Número do MD</t>
  </si>
  <si>
    <t>Revisão do MD</t>
  </si>
  <si>
    <t>TRAMO_COMPRIMENTO</t>
  </si>
  <si>
    <t>TRAMO_ESTRUTURA</t>
  </si>
  <si>
    <t>PLSV</t>
  </si>
  <si>
    <t>TRAMO_OD</t>
  </si>
  <si>
    <t>Poço</t>
  </si>
  <si>
    <t>TRAMO_ID</t>
  </si>
  <si>
    <t>Aplicação da linha</t>
  </si>
  <si>
    <t>TRAMO_PESO_VAZIO_AR</t>
  </si>
  <si>
    <t>Projeto</t>
  </si>
  <si>
    <t>TRAMO_PESO_VAZIO_AGUA</t>
  </si>
  <si>
    <t>LDA [m]</t>
  </si>
  <si>
    <t>TRAMO_PESO_CHEIO_AR</t>
  </si>
  <si>
    <t>*Sequência operacional [CVD/DCVD/CHD de 1ª ou 2ª]</t>
  </si>
  <si>
    <t>TRAMO_PESO_CHEIO_AGUA</t>
  </si>
  <si>
    <t>*Condição de lançamento da linha [vazia ou cheia]</t>
  </si>
  <si>
    <t>TRAMO_MBR_INSTALACAO</t>
  </si>
  <si>
    <t>Campo</t>
  </si>
  <si>
    <t>TRAMO_RIGIDEZ_FLEXAO</t>
  </si>
  <si>
    <t>Equipamentos Submarinos</t>
  </si>
  <si>
    <t>TRAMO_RIGIDEZ_AXIAL</t>
  </si>
  <si>
    <t>Planilha EQSB:</t>
  </si>
  <si>
    <t>Rev:</t>
  </si>
  <si>
    <t>TRAMO_RELATIVE_ELONGATION</t>
  </si>
  <si>
    <t>TRAMO_FABRICANTE</t>
  </si>
  <si>
    <t>*Equipamento Submarino:</t>
  </si>
  <si>
    <t>COMPRIMENTO_MAXIMO_GOMOS_VERTEBRA</t>
  </si>
  <si>
    <t>MOMENTO_FLETOR_ADMISSIVEL_VERTEBRA</t>
  </si>
  <si>
    <t>RL: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</si>
  <si>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</si>
  <si>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</si>
  <si>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</si>
  <si>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</si>
  <si>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</si>
  <si>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</si>
  <si>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</si>
  <si>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</si>
  <si>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</si>
  <si>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</si>
  <si>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</si>
  <si>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</si>
  <si>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</si>
  <si>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</si>
  <si>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>DIAMETRO_PESCOCO_CONECTOR</t>
  </si>
  <si>
    <t>CONECTOR_PESO_AR</t>
  </si>
  <si>
    <t>Tramos</t>
  </si>
  <si>
    <t>CONECTOR_PESO_AGUA</t>
  </si>
  <si>
    <t>Flow@MCV/MCH</t>
  </si>
  <si>
    <t>CONECTOR_DESENHO</t>
  </si>
  <si>
    <t>*Curva de histerese</t>
  </si>
  <si>
    <t>CONECTOR_ID</t>
  </si>
  <si>
    <t>Comprimento - L [m]</t>
  </si>
  <si>
    <t>CONECTOR_COMPRIMENTO</t>
  </si>
  <si>
    <t>Estrutura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</si>
  <si>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</si>
  <si>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</si>
  <si>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</si>
  <si>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</si>
  <si>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</si>
  <si>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</si>
  <si>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</si>
  <si>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</si>
  <si>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</si>
  <si>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</si>
  <si>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</si>
  <si>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</si>
  <si>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</si>
  <si>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</si>
  <si>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ADAPTADOR_PESO_AGUA</t>
  </si>
  <si>
    <t>*Rigidez axial [kN]</t>
  </si>
  <si>
    <t>ADAPTADOR_DESENHO</t>
  </si>
  <si>
    <t>*Relative elongation for 100kN [%] - caso datasheet não tenha rigidez axial</t>
  </si>
  <si>
    <t>ANODO_PESO_AR</t>
  </si>
  <si>
    <t>Fabricante [selecionar]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</si>
  <si>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</si>
  <si>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</si>
  <si>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</si>
  <si>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</si>
  <si>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</si>
  <si>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</si>
  <si>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</si>
  <si>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</si>
  <si>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</si>
  <si>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</si>
  <si>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</si>
  <si>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</si>
  <si>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</si>
  <si>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</si>
  <si>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</si>
  <si>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</si>
  <si>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*Vértebra:</t>
  </si>
  <si>
    <t>*Adaptador:</t>
  </si>
  <si>
    <t>*Anodo</t>
  </si>
  <si>
    <t>Instruções: Solicitar o estudo por meio do botão "Emitir RT", presente na aba Fluxo de desenvolvimento, que enviará um e-mail contendo um arquivo .xls anexo.</t>
  </si>
  <si>
    <t>Instruções: Copiar para a pasta abaixo: Unifilar da linha, desenhos dos acessórios e equipamentos, datasheet das estruturas,  RL com curva de rigidez das estruturas e quaisquer outras informações necessárias.</t>
  </si>
  <si>
    <t>Alan-Guilherme Estrela</t>
  </si>
  <si>
    <t>C:\Users\agestrela\Digicorner\Subsea Engineering - Brazil Vessel Projects - 04-SKO\01-PEs\2024\PE-04-24-36-SOR_IA_8-LL-44-RJS_FPSO CIDADEDE ITAGUAÍ\02-Verificacoes e Calculos\03-Analises\RT-2762-CVD\Dados</t>
  </si>
  <si>
    <t>ESTUDO DE CVD DE 1a EXTREMIDADE DA LINHA IA NO MANIFOLD MSIAG-01</t>
  </si>
  <si>
    <t>Elaborar estudo de CVD 1ª com redução no comprimento da vértebra para 5,639m, correspondente a um ângulo de cobertura de 72°.
A RT-2726 é a mesma que essa só que agora temos que colocar os parâmetros do SKOR.</t>
  </si>
  <si>
    <t>REMANEJAMENTO DE HUB DA LINHA DE IA DO POÇO 8-LL-44-RJS INTERLIGADO AO MSIAG-01 DO FPSO CIDADE DE ITAGUA</t>
  </si>
  <si>
    <t>MD-3A26.09-1500-941-R1N-003</t>
  </si>
  <si>
    <t>A</t>
  </si>
  <si>
    <t>SKO</t>
  </si>
  <si>
    <t>8-LL-44-RJS</t>
  </si>
  <si>
    <t>IA</t>
  </si>
  <si>
    <t>S51887</t>
  </si>
  <si>
    <t>CVD de 1ª</t>
  </si>
  <si>
    <t>Cheia</t>
  </si>
  <si>
    <t>Lula Alto</t>
  </si>
  <si>
    <t>FD-3A00.00-1514-276-PEK-001</t>
  </si>
  <si>
    <t>D</t>
  </si>
  <si>
    <t>Manifold</t>
  </si>
  <si>
    <t>RL-3A26.09-1500-94G-R1N-007</t>
  </si>
  <si>
    <t>P7000048060 / DU700154300 Rev. C</t>
  </si>
  <si>
    <t>C647 A-02</t>
  </si>
  <si>
    <t>Na pasta da RT</t>
  </si>
  <si>
    <t>WSI 152.2510-DR-4041-4</t>
  </si>
  <si>
    <t>-</t>
  </si>
  <si>
    <t>GE</t>
  </si>
  <si>
    <t>CB-EF1522510-00-09 Rev. 2</t>
  </si>
  <si>
    <t>CB-BR1522510-00-05 Rev. 2</t>
  </si>
  <si>
    <t>CB-TDC647XXXX-00-01 Rev.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</si>
</sst>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6" fillId="3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>
        <row r="4">
          <cell r="K4" t="str">
            <v>Cesta</v>
          </cell>
          <cell r="U4">
            <v>0</v>
          </cell>
        </row>
        <row r="5">
          <cell r="U5">
            <v>0</v>
          </cell>
        </row>
        <row r="6">
          <cell r="U6">
            <v>0</v>
          </cell>
        </row>
        <row r="7">
          <cell r="U7">
            <v>0</v>
          </cell>
        </row>
        <row r="8">
          <cell r="U8">
            <v>0</v>
          </cell>
        </row>
        <row r="9">
          <cell r="U9">
            <v>0</v>
          </cell>
        </row>
        <row r="10">
          <cell r="U10">
            <v>0</v>
          </cell>
        </row>
        <row r="11">
          <cell r="U11">
            <v>0</v>
          </cell>
        </row>
        <row r="12">
          <cell r="U12">
            <v>0</v>
          </cell>
        </row>
        <row r="13">
          <cell r="U13">
            <v>0</v>
          </cell>
        </row>
        <row r="14">
          <cell r="U14">
            <v>0</v>
          </cell>
        </row>
        <row r="15">
          <cell r="U15">
            <v>0</v>
          </cell>
        </row>
        <row r="16">
          <cell r="U16">
            <v>0</v>
          </cell>
        </row>
        <row r="17">
          <cell r="U17">
            <v>0</v>
          </cell>
        </row>
        <row r="18">
          <cell r="U18">
            <v>0</v>
          </cell>
        </row>
        <row r="19">
          <cell r="U19">
            <v>0</v>
          </cell>
        </row>
        <row r="20">
          <cell r="U20">
            <v>0</v>
          </cell>
        </row>
        <row r="21">
          <cell r="U21">
            <v>0</v>
          </cell>
        </row>
        <row r="22">
          <cell r="U22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>
        <row r="7">
          <cell r="G7" t="str">
            <v>CDA</v>
          </cell>
        </row>
      </sheetData>
      <sheetData sheetId="2"/>
      <sheetData sheetId="3"/>
      <sheetData sheetId="4"/>
      <sheetData sheetId="5">
        <row r="2">
          <cell r="C2" t="str">
            <v>UEH</v>
          </cell>
        </row>
      </sheetData>
      <sheetData sheetId="6"/>
      <sheetData sheetId="7">
        <row r="1">
          <cell r="A1"/>
        </row>
      </sheetData>
      <sheetData sheetId="8">
        <row r="9">
          <cell r="P9">
            <v>0.1016</v>
          </cell>
        </row>
      </sheetData>
      <sheetData sheetId="9"/>
      <sheetData sheetId="10"/>
      <sheetData sheetId="11">
        <row r="13">
          <cell r="C13" t="str">
            <v>C565 A-20</v>
          </cell>
        </row>
      </sheetData>
      <sheetData sheetId="12"/>
      <sheetData sheetId="13">
        <row r="33">
          <cell r="M33">
            <v>3</v>
          </cell>
        </row>
      </sheetData>
      <sheetData sheetId="14"/>
      <sheetData sheetId="15"/>
      <sheetData sheetId="16">
        <row r="22">
          <cell r="D22">
            <v>6</v>
          </cell>
        </row>
      </sheetData>
      <sheetData sheetId="17"/>
      <sheetData sheetId="18"/>
      <sheetData sheetId="19"/>
      <sheetData sheetId="20"/>
      <sheetData sheetId="21"/>
      <sheetData sheetId="22">
        <row r="22">
          <cell r="K22">
            <v>7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3">
          <cell r="B3" t="str">
            <v>Teste hidrostatico, extremidade na mesa</v>
          </cell>
        </row>
      </sheetData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>
        <row r="3">
          <cell r="B3">
            <v>42948</v>
          </cell>
        </row>
      </sheetData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B3" t="str">
            <v>Teste hidrostatico, extremidade na mesa</v>
          </cell>
        </row>
      </sheetData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172AB92-7343-4F20-A5B5-F7C508794E39}">
  <we:reference id="df76232d-21a6-4463-9d19-0518ac5aab5d" version="1.1.0.0" store="EXCatalog" storeType="EXCatalog"/>
  <we:alternateReferences>
    <we:reference id="WA200000556" version="1.1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zoomScale="110" zoomScaleNormal="110" workbookViewId="0">
      <selection activeCell="C13" sqref="C13:K13"/>
    </sheetView>
  </sheetViews>
  <sheetFormatPr defaultColWidth="9" defaultRowHeight="15" x14ac:dyDescent="0.2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570312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5703125" style="38" customWidth="1"/>
    <col min="11" max="11" width="17.570312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 x14ac:dyDescent="0.4">
      <c r="A1" s="42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4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 x14ac:dyDescent="0.25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2240</v>
      </c>
      <c r="AJ2" s="38"/>
      <c r="AK2" s="38">
        <f>K27</f>
        <v>2240</v>
      </c>
    </row>
    <row r="3" spans="1:37" s="2" customFormat="1" ht="15.75" customHeight="1" x14ac:dyDescent="0.25">
      <c r="A3" s="45" t="s">
        <v>126</v>
      </c>
      <c r="B3" s="46"/>
      <c r="C3" s="46"/>
      <c r="D3" s="46"/>
      <c r="E3" s="46"/>
      <c r="F3" s="46"/>
      <c r="G3" s="46"/>
      <c r="H3" s="46"/>
      <c r="I3" s="46"/>
      <c r="J3" s="46"/>
      <c r="K3" s="47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5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 x14ac:dyDescent="0.3">
      <c r="A4" s="48"/>
      <c r="B4" s="49"/>
      <c r="C4" s="49"/>
      <c r="D4" s="49"/>
      <c r="E4" s="49"/>
      <c r="F4" s="49"/>
      <c r="G4" s="49"/>
      <c r="H4" s="49"/>
      <c r="I4" s="49"/>
      <c r="J4" s="49"/>
      <c r="K4" s="50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6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 x14ac:dyDescent="0.25">
      <c r="A5" s="7" t="s">
        <v>7</v>
      </c>
      <c r="B5" s="51">
        <v>2762</v>
      </c>
      <c r="C5" s="51"/>
      <c r="D5" s="8"/>
      <c r="E5" s="1" t="s">
        <v>8</v>
      </c>
      <c r="F5" s="9">
        <v>0</v>
      </c>
      <c r="G5" s="1"/>
      <c r="H5" s="1" t="s">
        <v>9</v>
      </c>
      <c r="I5" s="10">
        <v>45389.875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10</v>
      </c>
      <c r="AI5" s="38" t="str">
        <f t="shared" si="0"/>
        <v>FD-3A00.00-1514-276-PEK-001</v>
      </c>
      <c r="AJ5" s="38"/>
      <c r="AK5" s="38" t="str">
        <f>B32</f>
        <v>FD-3A00.00-1514-276-PEK-001</v>
      </c>
    </row>
    <row r="6" spans="1:37" s="2" customFormat="1" ht="15.75" customHeight="1" x14ac:dyDescent="0.25">
      <c r="A6" s="7" t="s">
        <v>11</v>
      </c>
      <c r="B6" s="52" t="s">
        <v>128</v>
      </c>
      <c r="C6" s="52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12</v>
      </c>
      <c r="AI6" s="38" t="str">
        <f t="shared" si="0"/>
        <v>D</v>
      </c>
      <c r="AJ6" s="38"/>
      <c r="AK6" s="38" t="str">
        <f>F32</f>
        <v>D</v>
      </c>
    </row>
    <row r="7" spans="1:37" s="2" customFormat="1" ht="15.75" customHeight="1" x14ac:dyDescent="0.25">
      <c r="A7" s="45" t="s">
        <v>127</v>
      </c>
      <c r="B7" s="46"/>
      <c r="C7" s="46"/>
      <c r="D7" s="46"/>
      <c r="E7" s="46"/>
      <c r="F7" s="46"/>
      <c r="G7" s="46"/>
      <c r="H7" s="46"/>
      <c r="I7" s="46"/>
      <c r="J7" s="46"/>
      <c r="K7" s="47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13</v>
      </c>
      <c r="AI7" s="38" t="str">
        <f t="shared" si="0"/>
        <v>Manifold</v>
      </c>
      <c r="AJ7" s="38"/>
      <c r="AK7" s="38" t="str">
        <f>C34</f>
        <v>Manifold</v>
      </c>
    </row>
    <row r="8" spans="1:37" s="2" customFormat="1" ht="15.7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7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14</v>
      </c>
      <c r="AI8" s="38" t="str">
        <f t="shared" si="0"/>
        <v>RL-3A26.09-1500-94G-R1N-007</v>
      </c>
      <c r="AJ8" s="38"/>
      <c r="AK8" s="38" t="str">
        <f>B36</f>
        <v>RL-3A26.09-1500-94G-R1N-007</v>
      </c>
    </row>
    <row r="9" spans="1:37" s="2" customFormat="1" ht="15.75" customHeight="1" x14ac:dyDescent="0.25">
      <c r="A9" s="45"/>
      <c r="B9" s="46"/>
      <c r="C9" s="46"/>
      <c r="D9" s="46"/>
      <c r="E9" s="46"/>
      <c r="F9" s="46"/>
      <c r="G9" s="46"/>
      <c r="H9" s="46"/>
      <c r="I9" s="46"/>
      <c r="J9" s="46"/>
      <c r="K9" s="47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15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 x14ac:dyDescent="0.25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16</v>
      </c>
      <c r="AI10" s="38">
        <f t="shared" si="0"/>
        <v>5797</v>
      </c>
      <c r="AJ10" s="38"/>
      <c r="AK10" s="38">
        <f>C38</f>
        <v>5797</v>
      </c>
    </row>
    <row r="11" spans="1:37" s="2" customFormat="1" ht="15.75" customHeight="1" x14ac:dyDescent="0.25">
      <c r="A11" s="13" t="s">
        <v>17</v>
      </c>
      <c r="B11" s="8"/>
      <c r="C11" s="41" t="s">
        <v>129</v>
      </c>
      <c r="D11" s="41"/>
      <c r="E11" s="41"/>
      <c r="F11" s="41"/>
      <c r="G11" s="41"/>
      <c r="H11" s="41"/>
      <c r="I11" s="41"/>
      <c r="J11" s="41"/>
      <c r="K11" s="53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18</v>
      </c>
      <c r="AI11" s="38">
        <f t="shared" si="0"/>
        <v>5045</v>
      </c>
      <c r="AJ11" s="38"/>
      <c r="AK11" s="38">
        <f>D38</f>
        <v>5045</v>
      </c>
    </row>
    <row r="12" spans="1:37" s="2" customFormat="1" ht="15.75" customHeight="1" x14ac:dyDescent="0.25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19</v>
      </c>
      <c r="AI12" s="38">
        <f t="shared" si="0"/>
        <v>3810</v>
      </c>
      <c r="AJ12" s="38"/>
      <c r="AK12" s="38">
        <f>E38</f>
        <v>3810</v>
      </c>
    </row>
    <row r="13" spans="1:37" s="2" customFormat="1" ht="15.75" customHeight="1" x14ac:dyDescent="0.25">
      <c r="A13" s="13" t="s">
        <v>20</v>
      </c>
      <c r="B13" s="8"/>
      <c r="C13" s="41" t="s">
        <v>130</v>
      </c>
      <c r="D13" s="41"/>
      <c r="E13" s="41"/>
      <c r="F13" s="41"/>
      <c r="G13" s="41"/>
      <c r="H13" s="41"/>
      <c r="I13" s="41"/>
      <c r="J13" s="41"/>
      <c r="K13" s="53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21</v>
      </c>
      <c r="AI13" s="38">
        <f t="shared" si="0"/>
        <v>502</v>
      </c>
      <c r="AJ13" s="38"/>
      <c r="AK13" s="38">
        <f>F38</f>
        <v>502</v>
      </c>
    </row>
    <row r="14" spans="1:37" s="2" customFormat="1" ht="15.75" customHeight="1" x14ac:dyDescent="0.25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22</v>
      </c>
      <c r="AI14" s="38">
        <f t="shared" si="0"/>
        <v>907</v>
      </c>
      <c r="AJ14" s="38"/>
      <c r="AK14" s="38">
        <f>G38</f>
        <v>907</v>
      </c>
    </row>
    <row r="15" spans="1:37" s="2" customFormat="1" ht="15.75" customHeight="1" x14ac:dyDescent="0.25">
      <c r="A15" s="45" t="s">
        <v>23</v>
      </c>
      <c r="B15" s="46"/>
      <c r="C15" s="54" t="s">
        <v>131</v>
      </c>
      <c r="D15" s="54"/>
      <c r="E15" s="54"/>
      <c r="F15" s="54"/>
      <c r="G15" s="54"/>
      <c r="H15" s="54"/>
      <c r="I15" s="54"/>
      <c r="J15" s="54"/>
      <c r="K15" s="55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24</v>
      </c>
      <c r="AI15" s="38">
        <f t="shared" si="0"/>
        <v>681</v>
      </c>
      <c r="AJ15" s="38"/>
      <c r="AK15" s="38">
        <f>H38</f>
        <v>681</v>
      </c>
    </row>
    <row r="16" spans="1:37" s="2" customFormat="1" ht="15.75" customHeight="1" x14ac:dyDescent="0.25">
      <c r="A16" s="45"/>
      <c r="B16" s="46"/>
      <c r="C16" s="54"/>
      <c r="D16" s="54"/>
      <c r="E16" s="54"/>
      <c r="F16" s="54"/>
      <c r="G16" s="54"/>
      <c r="H16" s="54"/>
      <c r="I16" s="54"/>
      <c r="J16" s="54"/>
      <c r="K16" s="55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25</v>
      </c>
      <c r="AI16" s="38">
        <f t="shared" si="0"/>
        <v>864</v>
      </c>
      <c r="AJ16" s="38"/>
      <c r="AK16" s="38">
        <f>I38</f>
        <v>864</v>
      </c>
    </row>
    <row r="17" spans="1:37" s="2" customFormat="1" ht="15.75" customHeight="1" x14ac:dyDescent="0.25">
      <c r="A17" s="45"/>
      <c r="B17" s="46"/>
      <c r="C17" s="54"/>
      <c r="D17" s="54"/>
      <c r="E17" s="54"/>
      <c r="F17" s="54"/>
      <c r="G17" s="54"/>
      <c r="H17" s="54"/>
      <c r="I17" s="54"/>
      <c r="J17" s="54"/>
      <c r="K17" s="55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26</v>
      </c>
      <c r="AI17" s="38">
        <f t="shared" si="0"/>
        <v>2037</v>
      </c>
      <c r="AJ17" s="38"/>
      <c r="AK17" s="38">
        <f>J38</f>
        <v>2037</v>
      </c>
    </row>
    <row r="18" spans="1:37" s="2" customFormat="1" ht="15.75" customHeight="1" x14ac:dyDescent="0.25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27</v>
      </c>
      <c r="AI18" s="38" t="str">
        <f t="shared" si="0"/>
        <v>P7000048060 / DU700154300 Rev. C</v>
      </c>
      <c r="AJ18" s="38"/>
      <c r="AK18" s="38" t="str">
        <f>B39</f>
        <v>P7000048060 / DU700154300 Rev. C</v>
      </c>
    </row>
    <row r="19" spans="1:37" s="2" customFormat="1" ht="15.75" customHeight="1" x14ac:dyDescent="0.3">
      <c r="A19" s="56" t="s">
        <v>28</v>
      </c>
      <c r="B19" s="57"/>
      <c r="C19" s="57"/>
      <c r="D19" s="57"/>
      <c r="E19" s="57"/>
      <c r="F19" s="57"/>
      <c r="G19" s="57"/>
      <c r="H19" s="57"/>
      <c r="I19" s="57"/>
      <c r="J19" s="57"/>
      <c r="K19" s="58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29</v>
      </c>
      <c r="AI19" s="38" t="str">
        <f t="shared" si="0"/>
        <v>C647 A-02</v>
      </c>
      <c r="AJ19" s="38"/>
      <c r="AK19" s="38" t="str">
        <f>B42</f>
        <v>C647 A-02</v>
      </c>
    </row>
    <row r="20" spans="1:37" s="2" customFormat="1" ht="15.75" customHeight="1" x14ac:dyDescent="0.3">
      <c r="A20" s="13" t="s">
        <v>30</v>
      </c>
      <c r="B20" s="15"/>
      <c r="C20" s="41" t="s">
        <v>132</v>
      </c>
      <c r="D20" s="41"/>
      <c r="E20" s="41"/>
      <c r="F20" s="41"/>
      <c r="G20" s="41"/>
      <c r="H20" s="41"/>
      <c r="I20" s="41"/>
      <c r="J20" s="41"/>
      <c r="K20" s="53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31</v>
      </c>
      <c r="AI20" s="38" t="str">
        <f t="shared" si="0"/>
        <v>Na pasta da RT</v>
      </c>
      <c r="AJ20" s="38"/>
      <c r="AK20" s="38" t="str">
        <f>B43</f>
        <v>Na pasta da RT</v>
      </c>
    </row>
    <row r="21" spans="1:37" s="2" customFormat="1" ht="15.75" customHeight="1" x14ac:dyDescent="0.3">
      <c r="A21" s="13" t="s">
        <v>32</v>
      </c>
      <c r="B21" s="15"/>
      <c r="C21" s="41" t="s">
        <v>133</v>
      </c>
      <c r="D21" s="41"/>
      <c r="E21" s="41"/>
      <c r="F21" s="15"/>
      <c r="G21" s="15"/>
      <c r="H21" s="15"/>
      <c r="I21" s="16" t="s">
        <v>33</v>
      </c>
      <c r="J21" s="16"/>
      <c r="K21" s="17" t="s">
        <v>134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34</v>
      </c>
      <c r="AI21" s="38">
        <f t="shared" si="0"/>
        <v>667</v>
      </c>
      <c r="AJ21" s="38"/>
      <c r="AK21" s="38">
        <f>K44</f>
        <v>667</v>
      </c>
    </row>
    <row r="22" spans="1:37" s="2" customFormat="1" ht="15.75" customHeight="1" x14ac:dyDescent="0.25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35</v>
      </c>
      <c r="AI22" s="38" t="str">
        <f t="shared" si="0"/>
        <v>WSI 152.2510-DR-4041-4</v>
      </c>
      <c r="AJ22" s="38"/>
      <c r="AK22" s="38" t="str">
        <f t="shared" ref="AK22:AK24" si="1">K45</f>
        <v>WSI 152.2510-DR-4041-4</v>
      </c>
    </row>
    <row r="23" spans="1:37" s="2" customFormat="1" ht="15.75" customHeight="1" x14ac:dyDescent="0.25">
      <c r="A23" s="13" t="s">
        <v>36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135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37</v>
      </c>
      <c r="AI23" s="38">
        <f t="shared" si="0"/>
        <v>306.22000000000003</v>
      </c>
      <c r="AJ23" s="38"/>
      <c r="AK23" s="38">
        <f t="shared" si="1"/>
        <v>306.22000000000003</v>
      </c>
    </row>
    <row r="24" spans="1:37" s="2" customFormat="1" ht="15.75" customHeight="1" x14ac:dyDescent="0.25">
      <c r="A24" s="59" t="s">
        <v>38</v>
      </c>
      <c r="B24" s="60"/>
      <c r="C24" s="60"/>
      <c r="D24" s="60"/>
      <c r="E24" s="60"/>
      <c r="F24" s="60"/>
      <c r="G24" s="60"/>
      <c r="H24" s="60"/>
      <c r="I24" s="60"/>
      <c r="J24" s="16"/>
      <c r="K24" s="18" t="s">
        <v>136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39</v>
      </c>
      <c r="AI24" s="38">
        <f t="shared" si="0"/>
        <v>152.4</v>
      </c>
      <c r="AJ24" s="38"/>
      <c r="AK24" s="38">
        <f t="shared" si="1"/>
        <v>152.4</v>
      </c>
    </row>
    <row r="25" spans="1:37" s="2" customFormat="1" ht="15.75" customHeight="1" x14ac:dyDescent="0.25">
      <c r="A25" s="13" t="s">
        <v>40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137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41</v>
      </c>
      <c r="AI25" s="38">
        <f t="shared" si="0"/>
        <v>146.52000000000001</v>
      </c>
      <c r="AJ25" s="38"/>
      <c r="AK25" s="38">
        <f>D48</f>
        <v>146.52000000000001</v>
      </c>
    </row>
    <row r="26" spans="1:37" s="2" customFormat="1" ht="15.75" customHeight="1" x14ac:dyDescent="0.25">
      <c r="A26" s="13" t="s">
        <v>42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138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43</v>
      </c>
      <c r="AI26" s="38">
        <f t="shared" si="0"/>
        <v>72.14</v>
      </c>
      <c r="AJ26" s="38"/>
      <c r="AK26" s="38">
        <f>D49</f>
        <v>72.14</v>
      </c>
    </row>
    <row r="27" spans="1:37" s="2" customFormat="1" ht="15.75" customHeight="1" x14ac:dyDescent="0.25">
      <c r="A27" s="59" t="s">
        <v>44</v>
      </c>
      <c r="B27" s="60"/>
      <c r="C27" s="60"/>
      <c r="D27" s="60"/>
      <c r="E27" s="60"/>
      <c r="F27" s="60"/>
      <c r="G27" s="60"/>
      <c r="H27" s="60"/>
      <c r="I27" s="60"/>
      <c r="J27" s="16"/>
      <c r="K27" s="19">
        <v>2240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45</v>
      </c>
      <c r="AI27" s="38">
        <f t="shared" si="0"/>
        <v>167.7</v>
      </c>
      <c r="AJ27" s="38"/>
      <c r="AK27" s="38">
        <f>K48</f>
        <v>167.7</v>
      </c>
    </row>
    <row r="28" spans="1:37" s="2" customFormat="1" ht="15.75" customHeight="1" x14ac:dyDescent="0.25">
      <c r="A28" s="59" t="s">
        <v>46</v>
      </c>
      <c r="B28" s="60"/>
      <c r="C28" s="60"/>
      <c r="D28" s="60"/>
      <c r="E28" s="60"/>
      <c r="F28" s="60"/>
      <c r="G28" s="60"/>
      <c r="H28" s="60"/>
      <c r="I28" s="60"/>
      <c r="J28" s="16"/>
      <c r="K28" s="19" t="s">
        <v>139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47</v>
      </c>
      <c r="AI28" s="38">
        <f t="shared" si="0"/>
        <v>93.32</v>
      </c>
      <c r="AJ28" s="38"/>
      <c r="AK28" s="38">
        <f>K49</f>
        <v>93.32</v>
      </c>
    </row>
    <row r="29" spans="1:37" s="2" customFormat="1" ht="15.75" customHeight="1" x14ac:dyDescent="0.25">
      <c r="A29" s="13" t="s">
        <v>48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140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49</v>
      </c>
      <c r="AI29" s="38">
        <f t="shared" si="0"/>
        <v>2.4</v>
      </c>
      <c r="AJ29" s="38"/>
      <c r="AK29" s="38">
        <f t="shared" ref="AK29:AK37" si="2">K50</f>
        <v>2.4</v>
      </c>
    </row>
    <row r="30" spans="1:37" s="2" customFormat="1" ht="15.75" customHeight="1" x14ac:dyDescent="0.25">
      <c r="A30" s="13" t="s">
        <v>50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141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51</v>
      </c>
      <c r="AI30" s="38">
        <f t="shared" si="0"/>
        <v>38.982999999999997</v>
      </c>
      <c r="AJ30" s="38"/>
      <c r="AK30" s="38">
        <f t="shared" si="2"/>
        <v>38.982999999999997</v>
      </c>
    </row>
    <row r="31" spans="1:37" s="2" customFormat="1" ht="15.75" customHeight="1" x14ac:dyDescent="0.3">
      <c r="A31" s="56" t="s">
        <v>52</v>
      </c>
      <c r="B31" s="57"/>
      <c r="C31" s="57"/>
      <c r="D31" s="57"/>
      <c r="E31" s="57"/>
      <c r="F31" s="57"/>
      <c r="G31" s="57"/>
      <c r="H31" s="57"/>
      <c r="I31" s="57"/>
      <c r="J31" s="57"/>
      <c r="K31" s="58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53</v>
      </c>
      <c r="AI31" s="38">
        <f t="shared" si="0"/>
        <v>310730</v>
      </c>
      <c r="AJ31" s="38"/>
      <c r="AK31" s="38">
        <f t="shared" si="2"/>
        <v>310730</v>
      </c>
    </row>
    <row r="32" spans="1:37" s="2" customFormat="1" ht="15.75" customHeight="1" x14ac:dyDescent="0.25">
      <c r="A32" s="20" t="s">
        <v>54</v>
      </c>
      <c r="B32" s="61" t="s">
        <v>142</v>
      </c>
      <c r="C32" s="61"/>
      <c r="D32" s="61"/>
      <c r="E32" s="21" t="s">
        <v>55</v>
      </c>
      <c r="F32" s="22" t="s">
        <v>143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56</v>
      </c>
      <c r="AI32" s="38" t="str">
        <f t="shared" si="0"/>
        <v>-</v>
      </c>
      <c r="AJ32" s="38"/>
      <c r="AK32" s="38" t="str">
        <f t="shared" si="2"/>
        <v>-</v>
      </c>
    </row>
    <row r="33" spans="1:37" s="2" customFormat="1" ht="15.75" customHeight="1" x14ac:dyDescent="0.25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57</v>
      </c>
      <c r="AI33" s="38" t="str">
        <f t="shared" si="0"/>
        <v>GE</v>
      </c>
      <c r="AJ33" s="38"/>
      <c r="AK33" s="38" t="str">
        <f t="shared" si="2"/>
        <v>GE</v>
      </c>
    </row>
    <row r="34" spans="1:37" s="2" customFormat="1" ht="15.75" customHeight="1" x14ac:dyDescent="0.25">
      <c r="A34" s="13" t="s">
        <v>58</v>
      </c>
      <c r="B34" s="8"/>
      <c r="C34" s="61" t="s">
        <v>144</v>
      </c>
      <c r="D34" s="6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59</v>
      </c>
      <c r="AI34" s="38">
        <f t="shared" si="0"/>
        <v>479</v>
      </c>
      <c r="AJ34" s="38"/>
      <c r="AK34" s="38">
        <f t="shared" si="2"/>
        <v>479</v>
      </c>
    </row>
    <row r="35" spans="1:37" s="2" customFormat="1" ht="15.75" customHeight="1" x14ac:dyDescent="0.25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60</v>
      </c>
      <c r="AI35" s="38">
        <f t="shared" si="0"/>
        <v>77</v>
      </c>
      <c r="AJ35" s="38"/>
      <c r="AK35" s="38">
        <f t="shared" si="2"/>
        <v>77</v>
      </c>
    </row>
    <row r="36" spans="1:37" s="2" customFormat="1" ht="15.75" customHeight="1" x14ac:dyDescent="0.25">
      <c r="A36" s="20" t="s">
        <v>61</v>
      </c>
      <c r="B36" s="61" t="s">
        <v>145</v>
      </c>
      <c r="C36" s="61"/>
      <c r="D36" s="61"/>
      <c r="E36" s="21" t="s">
        <v>55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62</v>
      </c>
      <c r="AI36" s="38" t="str">
        <f t="shared" si="0"/>
        <v>-</v>
      </c>
      <c r="AJ36" s="38"/>
      <c r="AK36" s="38" t="str">
        <f t="shared" si="2"/>
        <v>-</v>
      </c>
    </row>
    <row r="37" spans="1:37" s="2" customFormat="1" ht="15.75" customHeight="1" x14ac:dyDescent="0.25">
      <c r="A37" s="12"/>
      <c r="B37" s="24" t="s">
        <v>63</v>
      </c>
      <c r="C37" s="23" t="s">
        <v>64</v>
      </c>
      <c r="D37" s="23" t="s">
        <v>65</v>
      </c>
      <c r="E37" s="23" t="s">
        <v>66</v>
      </c>
      <c r="F37" s="23" t="s">
        <v>67</v>
      </c>
      <c r="G37" s="23" t="s">
        <v>68</v>
      </c>
      <c r="H37" s="23" t="s">
        <v>69</v>
      </c>
      <c r="I37" s="23" t="s">
        <v>70</v>
      </c>
      <c r="J37" s="23" t="s">
        <v>71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72</v>
      </c>
      <c r="AI37" s="38">
        <f t="shared" si="0"/>
        <v>4140</v>
      </c>
      <c r="AJ37" s="38"/>
      <c r="AK37" s="38">
        <f t="shared" si="2"/>
        <v>4140</v>
      </c>
    </row>
    <row r="38" spans="1:37" s="2" customFormat="1" ht="15.75" customHeight="1" x14ac:dyDescent="0.25">
      <c r="A38" s="20" t="s">
        <v>73</v>
      </c>
      <c r="B38" s="25">
        <v>15</v>
      </c>
      <c r="C38" s="26">
        <v>5797</v>
      </c>
      <c r="D38" s="26">
        <v>5045</v>
      </c>
      <c r="E38" s="25">
        <v>3810</v>
      </c>
      <c r="F38" s="25">
        <v>502</v>
      </c>
      <c r="G38" s="25">
        <v>907</v>
      </c>
      <c r="H38" s="25">
        <v>681</v>
      </c>
      <c r="I38" s="25">
        <v>864</v>
      </c>
      <c r="J38" s="25">
        <v>2037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74</v>
      </c>
      <c r="AI38" s="38">
        <f t="shared" si="0"/>
        <v>535</v>
      </c>
      <c r="AJ38" s="38"/>
      <c r="AK38" s="38">
        <f>K59</f>
        <v>535</v>
      </c>
    </row>
    <row r="39" spans="1:37" s="2" customFormat="1" ht="15.75" customHeight="1" x14ac:dyDescent="0.25">
      <c r="A39" s="20" t="s">
        <v>75</v>
      </c>
      <c r="B39" s="41" t="s">
        <v>146</v>
      </c>
      <c r="C39" s="41"/>
      <c r="D39" s="41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76</v>
      </c>
      <c r="AI39" s="38">
        <f t="shared" si="0"/>
        <v>254</v>
      </c>
      <c r="AJ39" s="38"/>
      <c r="AK39" s="38">
        <f>K60</f>
        <v>254</v>
      </c>
    </row>
    <row r="40" spans="1:37" s="2" customFormat="1" ht="15.75" customHeight="1" x14ac:dyDescent="0.25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77</v>
      </c>
      <c r="AI40" s="38">
        <f t="shared" si="0"/>
        <v>890</v>
      </c>
      <c r="AJ40" s="38"/>
      <c r="AK40" s="38">
        <f>C62</f>
        <v>890</v>
      </c>
    </row>
    <row r="41" spans="1:37" s="2" customFormat="1" ht="15.75" customHeight="1" x14ac:dyDescent="0.3">
      <c r="A41" s="56" t="s">
        <v>78</v>
      </c>
      <c r="B41" s="57"/>
      <c r="C41" s="57"/>
      <c r="D41" s="57"/>
      <c r="E41" s="57"/>
      <c r="F41" s="57"/>
      <c r="G41" s="57"/>
      <c r="H41" s="57"/>
      <c r="I41" s="57"/>
      <c r="J41" s="57"/>
      <c r="K41" s="58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79</v>
      </c>
      <c r="AI41" s="38">
        <f t="shared" si="0"/>
        <v>774.3</v>
      </c>
      <c r="AJ41" s="38"/>
      <c r="AK41" s="38">
        <f>D62</f>
        <v>774.3</v>
      </c>
    </row>
    <row r="42" spans="1:37" s="2" customFormat="1" ht="15.75" customHeight="1" x14ac:dyDescent="0.25">
      <c r="A42" s="20" t="s">
        <v>80</v>
      </c>
      <c r="B42" s="62" t="s">
        <v>147</v>
      </c>
      <c r="C42" s="62"/>
      <c r="D42" s="62"/>
      <c r="E42" s="62"/>
      <c r="F42" s="62"/>
      <c r="G42" s="62"/>
      <c r="H42" s="62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81</v>
      </c>
      <c r="AI42" s="38" t="str">
        <f t="shared" si="0"/>
        <v>CB-EF1522510-00-09 Rev. 2</v>
      </c>
      <c r="AJ42" s="38"/>
      <c r="AK42" s="38" t="str">
        <f>E62</f>
        <v>CB-EF1522510-00-09 Rev. 2</v>
      </c>
    </row>
    <row r="43" spans="1:37" s="2" customFormat="1" ht="15.75" customHeight="1" x14ac:dyDescent="0.25">
      <c r="A43" s="20" t="s">
        <v>82</v>
      </c>
      <c r="B43" s="62" t="s">
        <v>148</v>
      </c>
      <c r="C43" s="62"/>
      <c r="D43" s="62"/>
      <c r="E43" s="62"/>
      <c r="F43" s="62"/>
      <c r="G43" s="62"/>
      <c r="H43" s="62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83</v>
      </c>
      <c r="AI43" s="38">
        <f t="shared" si="0"/>
        <v>152.4</v>
      </c>
      <c r="AJ43" s="38"/>
      <c r="AK43" s="38">
        <f>I62</f>
        <v>152.4</v>
      </c>
    </row>
    <row r="44" spans="1:37" s="2" customFormat="1" ht="15.75" customHeight="1" x14ac:dyDescent="0.25">
      <c r="A44" s="59" t="s">
        <v>84</v>
      </c>
      <c r="B44" s="60"/>
      <c r="C44" s="60"/>
      <c r="D44" s="60"/>
      <c r="E44" s="60"/>
      <c r="F44" s="60"/>
      <c r="G44" s="60"/>
      <c r="H44" s="60"/>
      <c r="I44" s="60"/>
      <c r="J44" s="16"/>
      <c r="K44" s="17">
        <v>667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85</v>
      </c>
      <c r="AI44" s="38">
        <f t="shared" si="0"/>
        <v>1374</v>
      </c>
      <c r="AJ44" s="38"/>
      <c r="AK44" s="38">
        <f>K62</f>
        <v>1374</v>
      </c>
    </row>
    <row r="45" spans="1:37" s="2" customFormat="1" ht="15.75" customHeight="1" x14ac:dyDescent="0.25">
      <c r="A45" s="59" t="s">
        <v>86</v>
      </c>
      <c r="B45" s="60"/>
      <c r="C45" s="60"/>
      <c r="D45" s="60"/>
      <c r="E45" s="60"/>
      <c r="F45" s="60"/>
      <c r="G45" s="60"/>
      <c r="H45" s="60"/>
      <c r="I45" s="60"/>
      <c r="J45" s="16"/>
      <c r="K45" s="17" t="s">
        <v>149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87</v>
      </c>
      <c r="AI45" s="38">
        <f t="shared" si="0"/>
        <v>2385</v>
      </c>
      <c r="AJ45" s="38"/>
      <c r="AK45" s="38">
        <f>C63</f>
        <v>2385</v>
      </c>
    </row>
    <row r="46" spans="1:37" s="2" customFormat="1" ht="15.75" customHeight="1" x14ac:dyDescent="0.25">
      <c r="A46" s="65" t="s">
        <v>88</v>
      </c>
      <c r="B46" s="66"/>
      <c r="C46" s="66"/>
      <c r="D46" s="66"/>
      <c r="E46" s="66"/>
      <c r="F46" s="66"/>
      <c r="G46" s="66"/>
      <c r="H46" s="66"/>
      <c r="I46" s="66"/>
      <c r="J46" s="27"/>
      <c r="K46" s="28">
        <v>306.22000000000003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89</v>
      </c>
      <c r="AI46" s="38">
        <f t="shared" si="0"/>
        <v>2074.9499999999998</v>
      </c>
      <c r="AJ46" s="38"/>
      <c r="AK46" s="38">
        <f>D63</f>
        <v>2074.9499999999998</v>
      </c>
    </row>
    <row r="47" spans="1:37" s="2" customFormat="1" ht="15.75" customHeight="1" x14ac:dyDescent="0.25">
      <c r="A47" s="65" t="s">
        <v>90</v>
      </c>
      <c r="B47" s="66"/>
      <c r="C47" s="66"/>
      <c r="D47" s="66"/>
      <c r="E47" s="66"/>
      <c r="F47" s="66"/>
      <c r="G47" s="66"/>
      <c r="H47" s="66"/>
      <c r="I47" s="66"/>
      <c r="J47" s="27"/>
      <c r="K47" s="29">
        <v>152.4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91</v>
      </c>
      <c r="AI47" s="38" t="str">
        <f t="shared" si="0"/>
        <v>CB-BR1522510-00-05 Rev. 2</v>
      </c>
      <c r="AJ47" s="38"/>
      <c r="AK47" s="38" t="str">
        <f>E63</f>
        <v>CB-BR1522510-00-05 Rev. 2</v>
      </c>
    </row>
    <row r="48" spans="1:37" s="2" customFormat="1" ht="15.75" customHeight="1" x14ac:dyDescent="0.25">
      <c r="A48" s="13" t="s">
        <v>92</v>
      </c>
      <c r="B48" s="16"/>
      <c r="C48" s="16"/>
      <c r="D48" s="26">
        <v>146.52000000000001</v>
      </c>
      <c r="E48" s="16"/>
      <c r="F48" s="16" t="s">
        <v>93</v>
      </c>
      <c r="G48" s="16"/>
      <c r="H48" s="16"/>
      <c r="I48" s="16"/>
      <c r="J48" s="16"/>
      <c r="K48" s="17">
        <v>167.7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94</v>
      </c>
      <c r="AI48" s="38">
        <f t="shared" si="0"/>
        <v>330</v>
      </c>
      <c r="AJ48" s="38"/>
      <c r="AK48" s="38">
        <f>I63</f>
        <v>330</v>
      </c>
    </row>
    <row r="49" spans="1:37" s="2" customFormat="1" ht="15.75" customHeight="1" x14ac:dyDescent="0.25">
      <c r="A49" s="13" t="s">
        <v>95</v>
      </c>
      <c r="B49" s="8"/>
      <c r="C49" s="8"/>
      <c r="D49" s="26">
        <v>72.14</v>
      </c>
      <c r="E49" s="8"/>
      <c r="F49" s="16" t="s">
        <v>96</v>
      </c>
      <c r="G49" s="8"/>
      <c r="H49" s="8"/>
      <c r="I49" s="8"/>
      <c r="J49" s="8"/>
      <c r="K49" s="17">
        <v>93.32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97</v>
      </c>
      <c r="AI49" s="38">
        <f t="shared" si="0"/>
        <v>668</v>
      </c>
      <c r="AJ49" s="38"/>
      <c r="AK49" s="38">
        <f>J63</f>
        <v>668</v>
      </c>
    </row>
    <row r="50" spans="1:37" s="2" customFormat="1" ht="15.75" customHeight="1" x14ac:dyDescent="0.25">
      <c r="A50" s="65" t="s">
        <v>98</v>
      </c>
      <c r="B50" s="66"/>
      <c r="C50" s="66"/>
      <c r="D50" s="66"/>
      <c r="E50" s="66"/>
      <c r="F50" s="66"/>
      <c r="G50" s="66"/>
      <c r="H50" s="66"/>
      <c r="I50" s="66"/>
      <c r="J50" s="27"/>
      <c r="K50" s="19">
        <v>2.4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99</v>
      </c>
      <c r="AI50" s="38" t="e">
        <f t="shared" si="0"/>
        <v>#N/A</v>
      </c>
      <c r="AJ50" s="38"/>
      <c r="AK50" s="38" t="e">
        <f>C64</f>
        <v>#N/A</v>
      </c>
    </row>
    <row r="51" spans="1:37" s="2" customFormat="1" ht="15.75" customHeight="1" x14ac:dyDescent="0.25">
      <c r="A51" s="59" t="s">
        <v>100</v>
      </c>
      <c r="B51" s="60"/>
      <c r="C51" s="60"/>
      <c r="D51" s="60"/>
      <c r="E51" s="60"/>
      <c r="F51" s="60"/>
      <c r="G51" s="60"/>
      <c r="H51" s="60"/>
      <c r="I51" s="60"/>
      <c r="J51" s="16"/>
      <c r="K51" s="19">
        <v>38.982999999999997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101</v>
      </c>
      <c r="AI51" s="38" t="e">
        <f t="shared" si="0"/>
        <v>#N/A</v>
      </c>
      <c r="AJ51" s="38"/>
      <c r="AK51" s="38" t="e">
        <f>D64</f>
        <v>#N/A</v>
      </c>
    </row>
    <row r="52" spans="1:37" s="2" customFormat="1" ht="15.75" customHeight="1" x14ac:dyDescent="0.25">
      <c r="A52" s="59" t="s">
        <v>102</v>
      </c>
      <c r="B52" s="60"/>
      <c r="C52" s="60"/>
      <c r="D52" s="60"/>
      <c r="E52" s="60"/>
      <c r="F52" s="60"/>
      <c r="G52" s="60"/>
      <c r="H52" s="60"/>
      <c r="I52" s="60"/>
      <c r="J52" s="16"/>
      <c r="K52" s="19">
        <v>310730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103</v>
      </c>
      <c r="AI52" s="38" t="e">
        <f t="shared" si="0"/>
        <v>#N/A</v>
      </c>
      <c r="AJ52" s="38"/>
      <c r="AK52" s="38" t="e">
        <f>E64</f>
        <v>#N/A</v>
      </c>
    </row>
    <row r="53" spans="1:37" s="2" customFormat="1" ht="15.75" customHeight="1" x14ac:dyDescent="0.25">
      <c r="A53" s="13" t="s">
        <v>104</v>
      </c>
      <c r="B53" s="16"/>
      <c r="C53" s="16"/>
      <c r="D53" s="16"/>
      <c r="E53" s="16"/>
      <c r="F53" s="16"/>
      <c r="G53" s="16"/>
      <c r="H53" s="16"/>
      <c r="I53" s="16"/>
      <c r="J53" s="16"/>
      <c r="K53" s="30" t="s">
        <v>150</v>
      </c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105</v>
      </c>
      <c r="AI53" s="38">
        <f t="shared" si="0"/>
        <v>90</v>
      </c>
      <c r="AJ53" s="38"/>
      <c r="AK53" s="38">
        <f>C65</f>
        <v>90</v>
      </c>
    </row>
    <row r="54" spans="1:37" s="2" customFormat="1" ht="15.75" customHeight="1" x14ac:dyDescent="0.25">
      <c r="A54" s="13" t="s">
        <v>106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151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107</v>
      </c>
      <c r="AI54" s="38">
        <f t="shared" si="0"/>
        <v>90</v>
      </c>
      <c r="AJ54" s="38"/>
      <c r="AK54" s="38">
        <f>D65</f>
        <v>90</v>
      </c>
    </row>
    <row r="55" spans="1:37" s="2" customFormat="1" ht="15.75" customHeight="1" x14ac:dyDescent="0.25">
      <c r="A55" s="20" t="s">
        <v>108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479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109</v>
      </c>
      <c r="AI55" s="38" t="str">
        <f t="shared" si="0"/>
        <v>CB-TDC647XXXX-00-01 Rev. 4</v>
      </c>
      <c r="AJ55" s="38"/>
      <c r="AK55" s="38" t="str">
        <f>E65</f>
        <v>CB-TDC647XXXX-00-01 Rev. 4</v>
      </c>
    </row>
    <row r="56" spans="1:37" s="2" customFormat="1" ht="15.75" customHeight="1" x14ac:dyDescent="0.25">
      <c r="A56" s="20" t="s">
        <v>110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77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111</v>
      </c>
      <c r="AI56" s="38">
        <f t="shared" si="0"/>
        <v>1080</v>
      </c>
      <c r="AJ56" s="38"/>
      <c r="AK56" s="38">
        <f>G65</f>
        <v>1080</v>
      </c>
    </row>
    <row r="57" spans="1:37" s="2" customFormat="1" ht="15.75" customHeight="1" x14ac:dyDescent="0.25">
      <c r="A57" s="20" t="s">
        <v>112</v>
      </c>
      <c r="B57" s="8"/>
      <c r="C57" s="8"/>
      <c r="D57" s="16"/>
      <c r="E57" s="16"/>
      <c r="F57" s="16"/>
      <c r="G57" s="8"/>
      <c r="H57" s="8"/>
      <c r="I57" s="8"/>
      <c r="J57" s="8"/>
      <c r="K57" s="31" t="s">
        <v>150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 x14ac:dyDescent="0.25">
      <c r="A58" s="20" t="s">
        <v>113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4140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 x14ac:dyDescent="0.25">
      <c r="A59" s="20" t="s">
        <v>114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535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 x14ac:dyDescent="0.25">
      <c r="A60" s="20" t="s">
        <v>115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254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 x14ac:dyDescent="0.25">
      <c r="A61" s="13"/>
      <c r="B61" s="23" t="s">
        <v>63</v>
      </c>
      <c r="C61" s="16" t="s">
        <v>116</v>
      </c>
      <c r="D61" s="16" t="s">
        <v>65</v>
      </c>
      <c r="E61" s="67" t="s">
        <v>117</v>
      </c>
      <c r="F61" s="67"/>
      <c r="G61" s="67" t="s">
        <v>118</v>
      </c>
      <c r="H61" s="67"/>
      <c r="I61" s="23" t="s">
        <v>119</v>
      </c>
      <c r="J61" s="23" t="s">
        <v>120</v>
      </c>
      <c r="K61" s="32" t="s">
        <v>121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 x14ac:dyDescent="0.25">
      <c r="A62" s="13" t="s">
        <v>122</v>
      </c>
      <c r="B62" s="25">
        <v>2</v>
      </c>
      <c r="C62" s="33">
        <v>890</v>
      </c>
      <c r="D62" s="33">
        <v>774.3</v>
      </c>
      <c r="E62" s="63" t="s">
        <v>152</v>
      </c>
      <c r="F62" s="63"/>
      <c r="G62" s="8"/>
      <c r="H62" s="16"/>
      <c r="I62" s="34">
        <v>152.4</v>
      </c>
      <c r="J62" s="23"/>
      <c r="K62" s="17">
        <v>1374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 x14ac:dyDescent="0.25">
      <c r="A63" s="13" t="s">
        <v>123</v>
      </c>
      <c r="B63" s="25">
        <v>3</v>
      </c>
      <c r="C63" s="33">
        <v>2385</v>
      </c>
      <c r="D63" s="33">
        <v>2074.9499999999998</v>
      </c>
      <c r="E63" s="63" t="s">
        <v>153</v>
      </c>
      <c r="F63" s="63"/>
      <c r="G63" s="8"/>
      <c r="H63" s="16"/>
      <c r="I63" s="34">
        <v>330</v>
      </c>
      <c r="J63" s="34">
        <v>668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 x14ac:dyDescent="0.25">
      <c r="A64" s="13" t="s">
        <v>124</v>
      </c>
      <c r="B64" s="25" t="s">
        <v>150</v>
      </c>
      <c r="C64" s="33" t="e">
        <v>#N/A</v>
      </c>
      <c r="D64" s="33" t="e">
        <v>#N/A</v>
      </c>
      <c r="E64" s="63" t="e">
        <v>#N/A</v>
      </c>
      <c r="F64" s="63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 x14ac:dyDescent="0.25">
      <c r="A65" s="13" t="s">
        <v>125</v>
      </c>
      <c r="B65" s="25">
        <v>12</v>
      </c>
      <c r="C65" s="33">
        <v>90</v>
      </c>
      <c r="D65" s="33">
        <v>90</v>
      </c>
      <c r="E65" s="63" t="s">
        <v>154</v>
      </c>
      <c r="F65" s="63"/>
      <c r="G65" s="64">
        <v>1080</v>
      </c>
      <c r="H65" s="64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 x14ac:dyDescent="0.3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 x14ac:dyDescent="0.25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 x14ac:dyDescent="0.25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 x14ac:dyDescent="0.2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 x14ac:dyDescent="0.2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 x14ac:dyDescent="0.2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 x14ac:dyDescent="0.2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 x14ac:dyDescent="0.2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 x14ac:dyDescent="0.2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 x14ac:dyDescent="0.2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 x14ac:dyDescent="0.2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 x14ac:dyDescent="0.2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 x14ac:dyDescent="0.2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 x14ac:dyDescent="0.2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 x14ac:dyDescent="0.2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 x14ac:dyDescent="0.25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 x14ac:dyDescent="0.25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 x14ac:dyDescent="0.25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 x14ac:dyDescent="0.25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 x14ac:dyDescent="0.25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 x14ac:dyDescent="0.25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 x14ac:dyDescent="0.25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 x14ac:dyDescent="0.25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 x14ac:dyDescent="0.25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 x14ac:dyDescent="0.25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 x14ac:dyDescent="0.25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 x14ac:dyDescent="0.25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 x14ac:dyDescent="0.25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 x14ac:dyDescent="0.25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 x14ac:dyDescent="0.25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 x14ac:dyDescent="0.25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 x14ac:dyDescent="0.25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 x14ac:dyDescent="0.25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 x14ac:dyDescent="0.25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 x14ac:dyDescent="0.25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 x14ac:dyDescent="0.25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 x14ac:dyDescent="0.25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 x14ac:dyDescent="0.25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 x14ac:dyDescent="0.25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 x14ac:dyDescent="0.25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 x14ac:dyDescent="0.25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 x14ac:dyDescent="0.25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 x14ac:dyDescent="0.25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 x14ac:dyDescent="0.25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 x14ac:dyDescent="0.25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 x14ac:dyDescent="0.25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 x14ac:dyDescent="0.25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 x14ac:dyDescent="0.25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 x14ac:dyDescent="0.25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 x14ac:dyDescent="0.25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 x14ac:dyDescent="0.25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 x14ac:dyDescent="0.25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 x14ac:dyDescent="0.25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 x14ac:dyDescent="0.25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 x14ac:dyDescent="0.25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 x14ac:dyDescent="0.25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 x14ac:dyDescent="0.25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 x14ac:dyDescent="0.25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 x14ac:dyDescent="0.25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 x14ac:dyDescent="0.25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 x14ac:dyDescent="0.25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 x14ac:dyDescent="0.25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 x14ac:dyDescent="0.25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 x14ac:dyDescent="0.25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 x14ac:dyDescent="0.25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 x14ac:dyDescent="0.25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 x14ac:dyDescent="0.25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 x14ac:dyDescent="0.25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 x14ac:dyDescent="0.25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 x14ac:dyDescent="0.25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 x14ac:dyDescent="0.25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 x14ac:dyDescent="0.25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 x14ac:dyDescent="0.25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 x14ac:dyDescent="0.25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 x14ac:dyDescent="0.25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 x14ac:dyDescent="0.25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 x14ac:dyDescent="0.25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 x14ac:dyDescent="0.25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 x14ac:dyDescent="0.25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 x14ac:dyDescent="0.25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 x14ac:dyDescent="0.25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 x14ac:dyDescent="0.25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 x14ac:dyDescent="0.25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 x14ac:dyDescent="0.25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 x14ac:dyDescent="0.25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 x14ac:dyDescent="0.25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 x14ac:dyDescent="0.25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 x14ac:dyDescent="0.25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 x14ac:dyDescent="0.25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 x14ac:dyDescent="0.25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 x14ac:dyDescent="0.25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 x14ac:dyDescent="0.25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 x14ac:dyDescent="0.25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 x14ac:dyDescent="0.25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 x14ac:dyDescent="0.25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 x14ac:dyDescent="0.25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 x14ac:dyDescent="0.25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 x14ac:dyDescent="0.25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 x14ac:dyDescent="0.25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 x14ac:dyDescent="0.25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 x14ac:dyDescent="0.25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 x14ac:dyDescent="0.25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 x14ac:dyDescent="0.25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 x14ac:dyDescent="0.25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 x14ac:dyDescent="0.25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 x14ac:dyDescent="0.25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 x14ac:dyDescent="0.25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 x14ac:dyDescent="0.25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 x14ac:dyDescent="0.25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 x14ac:dyDescent="0.25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 x14ac:dyDescent="0.25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 x14ac:dyDescent="0.25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 x14ac:dyDescent="0.25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 x14ac:dyDescent="0.25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 x14ac:dyDescent="0.25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 x14ac:dyDescent="0.25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 x14ac:dyDescent="0.25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 x14ac:dyDescent="0.25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 x14ac:dyDescent="0.25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 x14ac:dyDescent="0.25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 x14ac:dyDescent="0.25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 x14ac:dyDescent="0.25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 x14ac:dyDescent="0.25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 x14ac:dyDescent="0.25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 x14ac:dyDescent="0.25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 x14ac:dyDescent="0.25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 x14ac:dyDescent="0.25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 x14ac:dyDescent="0.25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 x14ac:dyDescent="0.25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 x14ac:dyDescent="0.25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 x14ac:dyDescent="0.25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 x14ac:dyDescent="0.25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 x14ac:dyDescent="0.25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 x14ac:dyDescent="0.25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 x14ac:dyDescent="0.25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 x14ac:dyDescent="0.25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 x14ac:dyDescent="0.25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 x14ac:dyDescent="0.25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 x14ac:dyDescent="0.25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 x14ac:dyDescent="0.25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 x14ac:dyDescent="0.25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 x14ac:dyDescent="0.25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 x14ac:dyDescent="0.25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 x14ac:dyDescent="0.25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 x14ac:dyDescent="0.25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 x14ac:dyDescent="0.25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 x14ac:dyDescent="0.25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 x14ac:dyDescent="0.25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 x14ac:dyDescent="0.2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 x14ac:dyDescent="0.2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 x14ac:dyDescent="0.2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 x14ac:dyDescent="0.2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 x14ac:dyDescent="0.2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 x14ac:dyDescent="0.2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 x14ac:dyDescent="0.2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 x14ac:dyDescent="0.2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 x14ac:dyDescent="0.2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 x14ac:dyDescent="0.2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 x14ac:dyDescent="0.2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 x14ac:dyDescent="0.2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 x14ac:dyDescent="0.2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 x14ac:dyDescent="0.2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 x14ac:dyDescent="0.2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 x14ac:dyDescent="0.2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 x14ac:dyDescent="0.2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 x14ac:dyDescent="0.2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 x14ac:dyDescent="0.2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 x14ac:dyDescent="0.2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 x14ac:dyDescent="0.2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 x14ac:dyDescent="0.2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 x14ac:dyDescent="0.2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 x14ac:dyDescent="0.2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 x14ac:dyDescent="0.2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 x14ac:dyDescent="0.2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 x14ac:dyDescent="0.2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 x14ac:dyDescent="0.2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 x14ac:dyDescent="0.2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 x14ac:dyDescent="0.2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 x14ac:dyDescent="0.2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 x14ac:dyDescent="0.2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 x14ac:dyDescent="0.2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 x14ac:dyDescent="0.2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 x14ac:dyDescent="0.2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 x14ac:dyDescent="0.2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 x14ac:dyDescent="0.2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 x14ac:dyDescent="0.2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 x14ac:dyDescent="0.2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 x14ac:dyDescent="0.2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 x14ac:dyDescent="0.2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 x14ac:dyDescent="0.2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 x14ac:dyDescent="0.2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 x14ac:dyDescent="0.2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 x14ac:dyDescent="0.2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 x14ac:dyDescent="0.2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 x14ac:dyDescent="0.2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 x14ac:dyDescent="0.2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 x14ac:dyDescent="0.2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 x14ac:dyDescent="0.2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 x14ac:dyDescent="0.2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 x14ac:dyDescent="0.2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 x14ac:dyDescent="0.2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 x14ac:dyDescent="0.2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 x14ac:dyDescent="0.2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 x14ac:dyDescent="0.2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 x14ac:dyDescent="0.2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 x14ac:dyDescent="0.2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 x14ac:dyDescent="0.2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 x14ac:dyDescent="0.2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 x14ac:dyDescent="0.2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 x14ac:dyDescent="0.2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 x14ac:dyDescent="0.2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 x14ac:dyDescent="0.2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 x14ac:dyDescent="0.2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 x14ac:dyDescent="0.2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 x14ac:dyDescent="0.2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 x14ac:dyDescent="0.2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 x14ac:dyDescent="0.2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 x14ac:dyDescent="0.2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75E2B93-2283-4118-8B1C-0EC10E1906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5CB611-86DD-4E87-A3F1-36473F988B2C}"/>
</file>

<file path=customXml/itemProps3.xml><?xml version="1.0" encoding="utf-8"?>
<ds:datastoreItem xmlns:ds="http://schemas.openxmlformats.org/officeDocument/2006/customXml" ds:itemID="{A96A5233-7778-4B54-912D-AFA6F03A4052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ce5a5b97-2ab8-42a5-a35c-791eb8b7f38a"/>
    <ds:schemaRef ds:uri="1c28d34b-cc8c-49b3-b6a6-31a760c4a20f"/>
    <ds:schemaRef ds:uri="http://schemas.microsoft.com/office/2006/documentManagement/types"/>
    <ds:schemaRef ds:uri="http://schemas.microsoft.com/office/infopath/2007/PartnerControls"/>
    <ds:schemaRef ds:uri="d035b8cb-3816-420d-b0e0-f72d31f4ce04"/>
    <ds:schemaRef ds:uri="http://www.w3.org/XML/1998/namespace"/>
    <ds:schemaRef ds:uri="http://purl.org/dc/dcmitype/"/>
    <ds:schemaRef ds:uri="7240fca1-d5d8-4b7d-af8f-d58b11c87bd0"/>
    <ds:schemaRef ds:uri="e22693a2-11d8-4e06-9932-42f8499655b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CVD, CHD ou DCVD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Daniel Wanderley</cp:lastModifiedBy>
  <cp:revision/>
  <dcterms:created xsi:type="dcterms:W3CDTF">2023-08-09T12:58:42Z</dcterms:created>
  <dcterms:modified xsi:type="dcterms:W3CDTF">2024-04-09T11:22:15Z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  <property fmtid="{D5CDD505-2E9C-101B-9397-08002B2CF9AE}" pid="11" name="SV_QUERY_LIST_4F35BF76-6C0D-4D9B-82B2-816C12CF3733">
    <vt:lpwstr>empty_477D106A-C0D6-4607-AEBD-E2C9D60EA279</vt:lpwstr>
  </property>
  <property fmtid="{D5CDD505-2E9C-101B-9397-08002B2CF9AE}" pid="12" name="SV_HIDDEN_GRID_QUERY_LIST_4F35BF76-6C0D-4D9B-82B2-816C12CF3733">
    <vt:lpwstr>empty_477D106A-C0D6-4607-AEBD-E2C9D60EA279</vt:lpwstr>
  </property>
</Properties>
</file>