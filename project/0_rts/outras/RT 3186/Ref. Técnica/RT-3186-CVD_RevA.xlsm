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silva11\Digicorner\BVP Cloud - 3186\1-Referências Técnicas\"/>
    </mc:Choice>
  </mc:AlternateContent>
  <xr:revisionPtr revIDLastSave="0" documentId="13_ncr:1_{4741F54E-1F00-4269-AA02-B4B81C563408}" xr6:coauthVersionLast="47" xr6:coauthVersionMax="47" xr10:uidLastSave="{00000000-0000-0000-0000-000000000000}"/>
  <bookViews>
    <workbookView minimized="1" xWindow="2244" yWindow="4356" windowWidth="17280" windowHeight="9108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 s="1"/>
  <c r="AK35" i="2"/>
  <c r="AI35" i="2" s="1"/>
  <c r="AK34" i="2"/>
  <c r="AI34" i="2" s="1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 s="1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<sst xmlns="http://schemas.openxmlformats.org/spreadsheetml/2006/main" count="159" uniqueCount="154">
  <si>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</si>
  <si>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</si>
  <si>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</si>
  <si>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</si>
  <si>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</si>
  <si>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</si>
  <si>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</si>
  <si>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</si>
  <si>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</si>
  <si>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</si>
  <si>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A</t>
  </si>
  <si>
    <t>Prazo:</t>
  </si>
  <si>
    <t>PLANILHA_EQSB_ARQUIVO</t>
  </si>
  <si>
    <t>Elaborador</t>
  </si>
  <si>
    <t>Diogo Teles de Araujo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</si>
  <si>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</si>
  <si>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</si>
  <si>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</si>
  <si>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</si>
  <si>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</si>
  <si>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</si>
  <si>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</si>
  <si>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C:\Users\pduda\Digicorner\Subsea Engineering - Brazil Vessel Projects - 01-SKA\01-PEs\2024\PE-08-24-34-SAB_PO_7-TUP-125-RJS_FPSO CIDADE DE MANGARATIBA\02-Verificacoes e Calculos\03-Analises\RT-3186-CVD\Dados</t>
  </si>
  <si>
    <t>MCV_PESO_AGUA</t>
  </si>
  <si>
    <t>MCV_COTA_A</t>
  </si>
  <si>
    <t>Título do estudo:</t>
  </si>
  <si>
    <t>ESTUDO DE CVD DE 1ª DA LINHA DE PO NO POÇO 7-TUP-125A-RJS DO FPSO CIDADE DE MANGARATIBA</t>
  </si>
  <si>
    <t>MCV_COTA_B</t>
  </si>
  <si>
    <t>MCV_COTA_C</t>
  </si>
  <si>
    <t>Comentários:</t>
  </si>
  <si>
    <t>Atentar para a nota 5 do desenho da vértebra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</si>
  <si>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</si>
  <si>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</si>
  <si>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</si>
  <si>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</si>
  <si>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</si>
  <si>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</si>
  <si>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</si>
  <si>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PO DO POÇO 7-TUP-125A-RJS (LOC-U) AO FPSO CIDADE DE MANGARATIBA</t>
  </si>
  <si>
    <t>TRAMO_CURVA_HISTERESE</t>
  </si>
  <si>
    <t>Número do MD</t>
  </si>
  <si>
    <t>MD-3A38.00-1500-941-R1N-003</t>
  </si>
  <si>
    <t>Revisão do MD</t>
  </si>
  <si>
    <t>TRAMO_COMPRIMENTO</t>
  </si>
  <si>
    <t>TRAMO_ESTRUTURA</t>
  </si>
  <si>
    <t>PLSV</t>
  </si>
  <si>
    <t>SKA</t>
  </si>
  <si>
    <t>TRAMO_OD</t>
  </si>
  <si>
    <t>Poço</t>
  </si>
  <si>
    <t>7-TUP-125-RJS</t>
  </si>
  <si>
    <t>TRAMO_ID</t>
  </si>
  <si>
    <t>Aplicação da linha</t>
  </si>
  <si>
    <t>PO</t>
  </si>
  <si>
    <t>TRAMO_PESO_VAZIO_AR</t>
  </si>
  <si>
    <t>Projeto</t>
  </si>
  <si>
    <t>S51881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</si>
  <si>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</si>
  <si>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</si>
  <si>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</si>
  <si>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</si>
  <si>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</si>
  <si>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</si>
  <si>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</si>
  <si>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</si>
  <si>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</si>
  <si>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</si>
  <si>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Tupi</t>
  </si>
  <si>
    <t>TRAMO_RIGIDEZ_FLEXAO</t>
  </si>
  <si>
    <t>Equipamentos Submarinos</t>
  </si>
  <si>
    <t>TRAMO_RIGIDEZ_AXIAL</t>
  </si>
  <si>
    <t>Planilha EQSB:</t>
  </si>
  <si>
    <t>FD-3A38.00-1516-619-PEK-019</t>
  </si>
  <si>
    <t>Rev: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</si>
  <si>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</si>
  <si>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</si>
  <si>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</si>
  <si>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</si>
  <si>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</si>
  <si>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</si>
  <si>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</si>
  <si>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RL-3A38.00-1500-94G-R1N-001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</si>
  <si>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</si>
  <si>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</si>
  <si>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</si>
  <si>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</si>
  <si>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</si>
  <si>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</si>
  <si>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</si>
  <si>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</si>
  <si>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</si>
  <si>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</si>
  <si>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</si>
  <si>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</si>
  <si>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</si>
  <si>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</si>
  <si>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10133646 / 10001714705 (AS-240) Rev. 06</t>
  </si>
  <si>
    <t>DIAMETRO_PESCOCO_CONECTOR</t>
  </si>
  <si>
    <t>CONECTOR_PESO_AR</t>
  </si>
  <si>
    <t>Tramos</t>
  </si>
  <si>
    <t>CONECTOR_PESO_AGUA</t>
  </si>
  <si>
    <t>Flow@MCV/MCH</t>
  </si>
  <si>
    <t>TR 53075 38</t>
  </si>
  <si>
    <t>CONECTOR_DESENHO</t>
  </si>
  <si>
    <t>*Curva de histerese</t>
  </si>
  <si>
    <t>anexo ao RL</t>
  </si>
  <si>
    <t>CONECTOR_ID</t>
  </si>
  <si>
    <t>Comprimento - L [m]</t>
  </si>
  <si>
    <t>CONECTOR_COMPRIMENTO</t>
  </si>
  <si>
    <t>Estrutura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</si>
  <si>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</si>
  <si>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</si>
  <si>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</si>
  <si>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</si>
  <si>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</si>
  <si>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</si>
  <si>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</si>
  <si>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</si>
  <si>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</si>
  <si>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</si>
  <si>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</si>
  <si>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</si>
  <si>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</si>
  <si>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</si>
  <si>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</si>
  <si>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</si>
  <si>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-</t>
  </si>
  <si>
    <t>ADAPTADOR_DESENHO</t>
  </si>
  <si>
    <t>*Relative elongation for 100kN [%] - caso datasheet não tenha rigidez axial</t>
  </si>
  <si>
    <t>ANODO_PESO_AR</t>
  </si>
  <si>
    <t>Fabricante [selecionar]</t>
  </si>
  <si>
    <t>TechnipFMC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</si>
  <si>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</si>
  <si>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</si>
  <si>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</si>
  <si>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</si>
  <si>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nota 5 do desenho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</si>
  <si>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</si>
  <si>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</si>
  <si>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</si>
  <si>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</si>
  <si>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</si>
  <si>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</si>
  <si>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</si>
  <si>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</si>
  <si>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</si>
  <si>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</si>
  <si>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</si>
  <si>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</si>
  <si>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079741-000-DW-5212-0057 Rev. 0</t>
  </si>
  <si>
    <t>*Vértebra:</t>
  </si>
  <si>
    <t>079741-000-DW-5224-0008 Rev. 0</t>
  </si>
  <si>
    <t>*Adaptador:</t>
  </si>
  <si>
    <t>*Anodo</t>
  </si>
  <si>
    <t>079741-000-DW-5104-0017 POS 16 Rev.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</si>
</sst>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6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7FE8C8-CF82-485B-9BAB-5800A34E526B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546ebeda-7a25-49b8-9d50-4a1c6b5d170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topLeftCell="A11" zoomScale="70" zoomScaleNormal="70" workbookViewId="0">
      <selection activeCell="B6" sqref="B6:C6"/>
    </sheetView>
  </sheetViews>
  <sheetFormatPr defaultColWidth="9" defaultRowHeight="15" x14ac:dyDescent="0.2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 x14ac:dyDescent="0.4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25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2232</v>
      </c>
      <c r="AJ2" s="38"/>
      <c r="AK2" s="38">
        <f>K27</f>
        <v>2232</v>
      </c>
    </row>
    <row r="3" spans="1:37" s="2" customFormat="1" ht="15.75" customHeight="1" x14ac:dyDescent="0.25">
      <c r="A3" s="45" t="s">
        <v>5</v>
      </c>
      <c r="B3" s="46"/>
      <c r="C3" s="46"/>
      <c r="D3" s="46"/>
      <c r="E3" s="46"/>
      <c r="F3" s="46"/>
      <c r="G3" s="46"/>
      <c r="H3" s="46"/>
      <c r="I3" s="46"/>
      <c r="J3" s="46"/>
      <c r="K3" s="47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3">
      <c r="A4" s="48"/>
      <c r="B4" s="49"/>
      <c r="C4" s="49"/>
      <c r="D4" s="49"/>
      <c r="E4" s="49"/>
      <c r="F4" s="49"/>
      <c r="G4" s="49"/>
      <c r="H4" s="49"/>
      <c r="I4" s="49"/>
      <c r="J4" s="49"/>
      <c r="K4" s="50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25">
      <c r="A5" s="7" t="s">
        <v>8</v>
      </c>
      <c r="B5" s="51">
        <v>3186</v>
      </c>
      <c r="C5" s="51"/>
      <c r="D5" s="8"/>
      <c r="E5" s="1" t="s">
        <v>9</v>
      </c>
      <c r="F5" s="9" t="s">
        <v>10</v>
      </c>
      <c r="G5" s="1"/>
      <c r="H5" s="1" t="s">
        <v>11</v>
      </c>
      <c r="I5" s="10">
        <v>45542.875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12</v>
      </c>
      <c r="AI5" s="38" t="str">
        <f t="shared" si="0"/>
        <v>FD-3A38.00-1516-619-PEK-019</v>
      </c>
      <c r="AJ5" s="38"/>
      <c r="AK5" s="38" t="str">
        <f>B32</f>
        <v>FD-3A38.00-1516-619-PEK-019</v>
      </c>
    </row>
    <row r="6" spans="1:37" s="2" customFormat="1" ht="15.75" customHeight="1" x14ac:dyDescent="0.25">
      <c r="A6" s="7" t="s">
        <v>13</v>
      </c>
      <c r="B6" s="52" t="s">
        <v>14</v>
      </c>
      <c r="C6" s="52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15</v>
      </c>
      <c r="AI6" s="38">
        <f t="shared" si="0"/>
        <v>0</v>
      </c>
      <c r="AJ6" s="38"/>
      <c r="AK6" s="38">
        <f>F32</f>
        <v>0</v>
      </c>
    </row>
    <row r="7" spans="1:37" s="2" customFormat="1" ht="15.75" customHeight="1" x14ac:dyDescent="0.25">
      <c r="A7" s="45" t="s">
        <v>16</v>
      </c>
      <c r="B7" s="46"/>
      <c r="C7" s="46"/>
      <c r="D7" s="46"/>
      <c r="E7" s="46"/>
      <c r="F7" s="46"/>
      <c r="G7" s="46"/>
      <c r="H7" s="46"/>
      <c r="I7" s="46"/>
      <c r="J7" s="46"/>
      <c r="K7" s="47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17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7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18</v>
      </c>
      <c r="AI8" s="38" t="str">
        <f t="shared" si="0"/>
        <v>RL-3A38.00-1500-94G-R1N-001</v>
      </c>
      <c r="AJ8" s="38"/>
      <c r="AK8" s="38" t="str">
        <f>B36</f>
        <v>RL-3A38.00-1500-94G-R1N-001</v>
      </c>
    </row>
    <row r="9" spans="1:37" s="2" customFormat="1" ht="15.75" customHeight="1" x14ac:dyDescent="0.25">
      <c r="A9" s="45"/>
      <c r="B9" s="46"/>
      <c r="C9" s="46"/>
      <c r="D9" s="46"/>
      <c r="E9" s="46"/>
      <c r="F9" s="46"/>
      <c r="G9" s="46"/>
      <c r="H9" s="46"/>
      <c r="I9" s="46"/>
      <c r="J9" s="46"/>
      <c r="K9" s="47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19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25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20</v>
      </c>
      <c r="AI10" s="38">
        <f t="shared" si="0"/>
        <v>7662</v>
      </c>
      <c r="AJ10" s="38"/>
      <c r="AK10" s="38">
        <f>C38</f>
        <v>7662</v>
      </c>
    </row>
    <row r="11" spans="1:37" s="2" customFormat="1" ht="15.75" customHeight="1" x14ac:dyDescent="0.25">
      <c r="A11" s="13" t="s">
        <v>21</v>
      </c>
      <c r="B11" s="8"/>
      <c r="C11" s="41" t="s">
        <v>22</v>
      </c>
      <c r="D11" s="41"/>
      <c r="E11" s="41"/>
      <c r="F11" s="41"/>
      <c r="G11" s="41"/>
      <c r="H11" s="41"/>
      <c r="I11" s="41"/>
      <c r="J11" s="41"/>
      <c r="K11" s="53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23</v>
      </c>
      <c r="AI11" s="38">
        <f t="shared" si="0"/>
        <v>6513</v>
      </c>
      <c r="AJ11" s="38"/>
      <c r="AK11" s="38">
        <f>D38</f>
        <v>6513</v>
      </c>
    </row>
    <row r="12" spans="1:37" s="2" customFormat="1" ht="15.75" customHeight="1" x14ac:dyDescent="0.25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24</v>
      </c>
      <c r="AI12" s="38">
        <f t="shared" si="0"/>
        <v>4400</v>
      </c>
      <c r="AJ12" s="38"/>
      <c r="AK12" s="38">
        <f>E38</f>
        <v>4400</v>
      </c>
    </row>
    <row r="13" spans="1:37" s="2" customFormat="1" ht="15.75" customHeight="1" x14ac:dyDescent="0.25">
      <c r="A13" s="13" t="s">
        <v>25</v>
      </c>
      <c r="B13" s="8"/>
      <c r="C13" s="41" t="s">
        <v>26</v>
      </c>
      <c r="D13" s="41"/>
      <c r="E13" s="41"/>
      <c r="F13" s="41"/>
      <c r="G13" s="41"/>
      <c r="H13" s="41"/>
      <c r="I13" s="41"/>
      <c r="J13" s="41"/>
      <c r="K13" s="53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27</v>
      </c>
      <c r="AI13" s="38">
        <f t="shared" si="0"/>
        <v>936</v>
      </c>
      <c r="AJ13" s="38"/>
      <c r="AK13" s="38">
        <f>F38</f>
        <v>936</v>
      </c>
    </row>
    <row r="14" spans="1:37" s="2" customFormat="1" ht="15.75" customHeight="1" x14ac:dyDescent="0.25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28</v>
      </c>
      <c r="AI14" s="38">
        <f t="shared" si="0"/>
        <v>1618</v>
      </c>
      <c r="AJ14" s="38"/>
      <c r="AK14" s="38">
        <f>G38</f>
        <v>1618</v>
      </c>
    </row>
    <row r="15" spans="1:37" s="2" customFormat="1" ht="15.75" customHeight="1" x14ac:dyDescent="0.25">
      <c r="A15" s="45" t="s">
        <v>29</v>
      </c>
      <c r="B15" s="46"/>
      <c r="C15" s="54" t="s">
        <v>30</v>
      </c>
      <c r="D15" s="54"/>
      <c r="E15" s="54"/>
      <c r="F15" s="54"/>
      <c r="G15" s="54"/>
      <c r="H15" s="54"/>
      <c r="I15" s="54"/>
      <c r="J15" s="54"/>
      <c r="K15" s="55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31</v>
      </c>
      <c r="AI15" s="38">
        <f t="shared" si="0"/>
        <v>322</v>
      </c>
      <c r="AJ15" s="38"/>
      <c r="AK15" s="38">
        <f>H38</f>
        <v>322</v>
      </c>
    </row>
    <row r="16" spans="1:37" s="2" customFormat="1" ht="15.75" customHeight="1" x14ac:dyDescent="0.25">
      <c r="A16" s="45"/>
      <c r="B16" s="46"/>
      <c r="C16" s="54"/>
      <c r="D16" s="54"/>
      <c r="E16" s="54"/>
      <c r="F16" s="54"/>
      <c r="G16" s="54"/>
      <c r="H16" s="54"/>
      <c r="I16" s="54"/>
      <c r="J16" s="54"/>
      <c r="K16" s="55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32</v>
      </c>
      <c r="AI16" s="38">
        <f t="shared" si="0"/>
        <v>1620</v>
      </c>
      <c r="AJ16" s="38"/>
      <c r="AK16" s="38">
        <f>I38</f>
        <v>1620</v>
      </c>
    </row>
    <row r="17" spans="1:37" s="2" customFormat="1" ht="15.75" customHeight="1" x14ac:dyDescent="0.25">
      <c r="A17" s="45"/>
      <c r="B17" s="46"/>
      <c r="C17" s="54"/>
      <c r="D17" s="54"/>
      <c r="E17" s="54"/>
      <c r="F17" s="54"/>
      <c r="G17" s="54"/>
      <c r="H17" s="54"/>
      <c r="I17" s="54"/>
      <c r="J17" s="54"/>
      <c r="K17" s="55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33</v>
      </c>
      <c r="AI17" s="38">
        <f t="shared" si="0"/>
        <v>1773</v>
      </c>
      <c r="AJ17" s="38"/>
      <c r="AK17" s="38">
        <f>J38</f>
        <v>1773</v>
      </c>
    </row>
    <row r="18" spans="1:37" s="2" customFormat="1" ht="15.75" customHeight="1" x14ac:dyDescent="0.25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34</v>
      </c>
      <c r="AI18" s="38" t="str">
        <f t="shared" si="0"/>
        <v>10133646 / 10001714705 (AS-240) Rev. 06</v>
      </c>
      <c r="AJ18" s="38"/>
      <c r="AK18" s="38" t="str">
        <f>B39</f>
        <v>10133646 / 10001714705 (AS-240) Rev. 06</v>
      </c>
    </row>
    <row r="19" spans="1:37" s="2" customFormat="1" ht="15.75" customHeight="1" x14ac:dyDescent="0.3">
      <c r="A19" s="56" t="s">
        <v>35</v>
      </c>
      <c r="B19" s="57"/>
      <c r="C19" s="57"/>
      <c r="D19" s="57"/>
      <c r="E19" s="57"/>
      <c r="F19" s="57"/>
      <c r="G19" s="57"/>
      <c r="H19" s="57"/>
      <c r="I19" s="57"/>
      <c r="J19" s="57"/>
      <c r="K19" s="58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36</v>
      </c>
      <c r="AI19" s="38" t="str">
        <f t="shared" si="0"/>
        <v>TR 53075 38</v>
      </c>
      <c r="AJ19" s="38"/>
      <c r="AK19" s="38" t="str">
        <f>B42</f>
        <v>TR 53075 38</v>
      </c>
    </row>
    <row r="20" spans="1:37" s="2" customFormat="1" ht="15.75" customHeight="1" x14ac:dyDescent="0.3">
      <c r="A20" s="13" t="s">
        <v>37</v>
      </c>
      <c r="B20" s="15"/>
      <c r="C20" s="41" t="s">
        <v>38</v>
      </c>
      <c r="D20" s="41"/>
      <c r="E20" s="41"/>
      <c r="F20" s="41"/>
      <c r="G20" s="41"/>
      <c r="H20" s="41"/>
      <c r="I20" s="41"/>
      <c r="J20" s="41"/>
      <c r="K20" s="53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39</v>
      </c>
      <c r="AI20" s="38" t="str">
        <f t="shared" si="0"/>
        <v>anexo ao RL</v>
      </c>
      <c r="AJ20" s="38"/>
      <c r="AK20" s="38" t="str">
        <f>B43</f>
        <v>anexo ao RL</v>
      </c>
    </row>
    <row r="21" spans="1:37" s="2" customFormat="1" ht="15.75" customHeight="1" x14ac:dyDescent="0.3">
      <c r="A21" s="13" t="s">
        <v>40</v>
      </c>
      <c r="B21" s="15"/>
      <c r="C21" s="41" t="s">
        <v>41</v>
      </c>
      <c r="D21" s="41"/>
      <c r="E21" s="41"/>
      <c r="F21" s="15"/>
      <c r="G21" s="15"/>
      <c r="H21" s="15"/>
      <c r="I21" s="16" t="s">
        <v>42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43</v>
      </c>
      <c r="AI21" s="38">
        <f t="shared" si="0"/>
        <v>990</v>
      </c>
      <c r="AJ21" s="38"/>
      <c r="AK21" s="38">
        <f>K44</f>
        <v>990</v>
      </c>
    </row>
    <row r="22" spans="1:37" s="2" customFormat="1" ht="15.75" customHeight="1" x14ac:dyDescent="0.25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44</v>
      </c>
      <c r="AI22" s="38">
        <f t="shared" si="0"/>
        <v>152.54902999999999</v>
      </c>
      <c r="AJ22" s="38"/>
      <c r="AK22" s="38">
        <f t="shared" ref="AK22:AK24" si="1">K45</f>
        <v>152.54902999999999</v>
      </c>
    </row>
    <row r="23" spans="1:37" s="2" customFormat="1" ht="15.75" customHeight="1" x14ac:dyDescent="0.25">
      <c r="A23" s="13" t="s">
        <v>45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46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47</v>
      </c>
      <c r="AI23" s="38">
        <f t="shared" si="0"/>
        <v>377.8</v>
      </c>
      <c r="AJ23" s="38"/>
      <c r="AK23" s="38">
        <f t="shared" si="1"/>
        <v>377.8</v>
      </c>
    </row>
    <row r="24" spans="1:37" s="2" customFormat="1" ht="15.75" customHeight="1" x14ac:dyDescent="0.25">
      <c r="A24" s="59" t="s">
        <v>48</v>
      </c>
      <c r="B24" s="60"/>
      <c r="C24" s="60"/>
      <c r="D24" s="60"/>
      <c r="E24" s="60"/>
      <c r="F24" s="60"/>
      <c r="G24" s="60"/>
      <c r="H24" s="60"/>
      <c r="I24" s="60"/>
      <c r="J24" s="16"/>
      <c r="K24" s="18" t="s">
        <v>49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50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 x14ac:dyDescent="0.25">
      <c r="A25" s="13" t="s">
        <v>51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52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53</v>
      </c>
      <c r="AI25" s="38">
        <f t="shared" si="0"/>
        <v>193.26</v>
      </c>
      <c r="AJ25" s="38"/>
      <c r="AK25" s="38">
        <f>D48</f>
        <v>193.26</v>
      </c>
    </row>
    <row r="26" spans="1:37" s="2" customFormat="1" ht="15.75" customHeight="1" x14ac:dyDescent="0.25">
      <c r="A26" s="13" t="s">
        <v>54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55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56</v>
      </c>
      <c r="AI26" s="38">
        <f t="shared" si="0"/>
        <v>78.36</v>
      </c>
      <c r="AJ26" s="38"/>
      <c r="AK26" s="38">
        <f>D49</f>
        <v>78.36</v>
      </c>
    </row>
    <row r="27" spans="1:37" s="2" customFormat="1" ht="15.75" customHeight="1" x14ac:dyDescent="0.25">
      <c r="A27" s="59" t="s">
        <v>57</v>
      </c>
      <c r="B27" s="60"/>
      <c r="C27" s="60"/>
      <c r="D27" s="60"/>
      <c r="E27" s="60"/>
      <c r="F27" s="60"/>
      <c r="G27" s="60"/>
      <c r="H27" s="60"/>
      <c r="I27" s="60"/>
      <c r="J27" s="16"/>
      <c r="K27" s="19">
        <v>2232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58</v>
      </c>
      <c r="AI27" s="38">
        <f t="shared" si="0"/>
        <v>213.96</v>
      </c>
      <c r="AJ27" s="38"/>
      <c r="AK27" s="38">
        <f>K48</f>
        <v>213.96</v>
      </c>
    </row>
    <row r="28" spans="1:37" s="2" customFormat="1" ht="15.75" customHeight="1" x14ac:dyDescent="0.25">
      <c r="A28" s="59" t="s">
        <v>59</v>
      </c>
      <c r="B28" s="60"/>
      <c r="C28" s="60"/>
      <c r="D28" s="60"/>
      <c r="E28" s="60"/>
      <c r="F28" s="60"/>
      <c r="G28" s="60"/>
      <c r="H28" s="60"/>
      <c r="I28" s="60"/>
      <c r="J28" s="16"/>
      <c r="K28" s="19" t="s">
        <v>60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61</v>
      </c>
      <c r="AI28" s="38">
        <f t="shared" si="0"/>
        <v>99.05</v>
      </c>
      <c r="AJ28" s="38"/>
      <c r="AK28" s="38">
        <f>K49</f>
        <v>99.05</v>
      </c>
    </row>
    <row r="29" spans="1:37" s="2" customFormat="1" ht="15.75" customHeight="1" x14ac:dyDescent="0.25">
      <c r="A29" s="13" t="s">
        <v>62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63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64</v>
      </c>
      <c r="AI29" s="38">
        <f t="shared" si="0"/>
        <v>3.07</v>
      </c>
      <c r="AJ29" s="38"/>
      <c r="AK29" s="38">
        <f t="shared" ref="AK29:AK37" si="2">K50</f>
        <v>3.07</v>
      </c>
    </row>
    <row r="30" spans="1:37" s="2" customFormat="1" ht="15.75" customHeight="1" x14ac:dyDescent="0.25">
      <c r="A30" s="13" t="s">
        <v>65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66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67</v>
      </c>
      <c r="AI30" s="38">
        <f t="shared" si="0"/>
        <v>148.29</v>
      </c>
      <c r="AJ30" s="38"/>
      <c r="AK30" s="38">
        <f t="shared" si="2"/>
        <v>148.29</v>
      </c>
    </row>
    <row r="31" spans="1:37" s="2" customFormat="1" ht="15.75" customHeight="1" x14ac:dyDescent="0.3">
      <c r="A31" s="56" t="s">
        <v>68</v>
      </c>
      <c r="B31" s="57"/>
      <c r="C31" s="57"/>
      <c r="D31" s="57"/>
      <c r="E31" s="57"/>
      <c r="F31" s="57"/>
      <c r="G31" s="57"/>
      <c r="H31" s="57"/>
      <c r="I31" s="57"/>
      <c r="J31" s="57"/>
      <c r="K31" s="58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69</v>
      </c>
      <c r="AI31" s="38" t="str">
        <f t="shared" si="0"/>
        <v>-</v>
      </c>
      <c r="AJ31" s="38"/>
      <c r="AK31" s="38" t="str">
        <f t="shared" si="2"/>
        <v>-</v>
      </c>
    </row>
    <row r="32" spans="1:37" s="2" customFormat="1" ht="15.75" customHeight="1" x14ac:dyDescent="0.25">
      <c r="A32" s="20" t="s">
        <v>70</v>
      </c>
      <c r="B32" s="61" t="s">
        <v>71</v>
      </c>
      <c r="C32" s="61"/>
      <c r="D32" s="61"/>
      <c r="E32" s="21" t="s">
        <v>72</v>
      </c>
      <c r="F32" s="22">
        <v>0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73</v>
      </c>
      <c r="AI32" s="38">
        <f t="shared" si="0"/>
        <v>9.8150000000000008E-3</v>
      </c>
      <c r="AJ32" s="38"/>
      <c r="AK32" s="38">
        <f t="shared" si="2"/>
        <v>9.8150000000000008E-3</v>
      </c>
    </row>
    <row r="33" spans="1:37" s="2" customFormat="1" ht="15.75" customHeight="1" x14ac:dyDescent="0.25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74</v>
      </c>
      <c r="AI33" s="38" t="str">
        <f t="shared" si="0"/>
        <v>TechnipFMC</v>
      </c>
      <c r="AJ33" s="38"/>
      <c r="AK33" s="38" t="str">
        <f t="shared" si="2"/>
        <v>TechnipFMC</v>
      </c>
    </row>
    <row r="34" spans="1:37" s="2" customFormat="1" ht="15.75" customHeight="1" x14ac:dyDescent="0.25">
      <c r="A34" s="13" t="s">
        <v>75</v>
      </c>
      <c r="B34" s="8"/>
      <c r="C34" s="61" t="s">
        <v>76</v>
      </c>
      <c r="D34" s="6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77</v>
      </c>
      <c r="AI34" s="38">
        <f t="shared" si="0"/>
        <v>4515</v>
      </c>
      <c r="AJ34" s="38"/>
      <c r="AK34" s="38">
        <f t="shared" si="2"/>
        <v>4515</v>
      </c>
    </row>
    <row r="35" spans="1:37" s="2" customFormat="1" ht="15.75" customHeight="1" x14ac:dyDescent="0.25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78</v>
      </c>
      <c r="AI35" s="38" t="str">
        <f t="shared" si="0"/>
        <v>nota 5 do desenho</v>
      </c>
      <c r="AJ35" s="38"/>
      <c r="AK35" s="38" t="str">
        <f t="shared" si="2"/>
        <v>nota 5 do desenho</v>
      </c>
    </row>
    <row r="36" spans="1:37" s="2" customFormat="1" ht="15.75" customHeight="1" x14ac:dyDescent="0.25">
      <c r="A36" s="20" t="s">
        <v>79</v>
      </c>
      <c r="B36" s="61" t="s">
        <v>80</v>
      </c>
      <c r="C36" s="61"/>
      <c r="D36" s="61"/>
      <c r="E36" s="21" t="s">
        <v>72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81</v>
      </c>
      <c r="AI36" s="38" t="str">
        <f t="shared" si="0"/>
        <v>nota 5 do desenho</v>
      </c>
      <c r="AJ36" s="38"/>
      <c r="AK36" s="38" t="str">
        <f t="shared" si="2"/>
        <v>nota 5 do desenho</v>
      </c>
    </row>
    <row r="37" spans="1:37" s="2" customFormat="1" ht="15.75" customHeight="1" x14ac:dyDescent="0.25">
      <c r="A37" s="12"/>
      <c r="B37" s="24" t="s">
        <v>82</v>
      </c>
      <c r="C37" s="23" t="s">
        <v>83</v>
      </c>
      <c r="D37" s="23" t="s">
        <v>84</v>
      </c>
      <c r="E37" s="23" t="s">
        <v>85</v>
      </c>
      <c r="F37" s="23" t="s">
        <v>86</v>
      </c>
      <c r="G37" s="23" t="s">
        <v>87</v>
      </c>
      <c r="H37" s="23" t="s">
        <v>88</v>
      </c>
      <c r="I37" s="23" t="s">
        <v>89</v>
      </c>
      <c r="J37" s="23" t="s">
        <v>90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91</v>
      </c>
      <c r="AI37" s="38">
        <f t="shared" si="0"/>
        <v>3.4140000000000001</v>
      </c>
      <c r="AJ37" s="38"/>
      <c r="AK37" s="38">
        <f t="shared" si="2"/>
        <v>3.4140000000000001</v>
      </c>
    </row>
    <row r="38" spans="1:37" s="2" customFormat="1" ht="15.75" customHeight="1" x14ac:dyDescent="0.25">
      <c r="A38" s="20" t="s">
        <v>92</v>
      </c>
      <c r="B38" s="25">
        <v>70</v>
      </c>
      <c r="C38" s="26">
        <v>7662</v>
      </c>
      <c r="D38" s="26">
        <v>6513</v>
      </c>
      <c r="E38" s="25">
        <v>4400</v>
      </c>
      <c r="F38" s="25">
        <v>936</v>
      </c>
      <c r="G38" s="25">
        <v>1618</v>
      </c>
      <c r="H38" s="25">
        <v>322</v>
      </c>
      <c r="I38" s="25">
        <v>1620</v>
      </c>
      <c r="J38" s="25">
        <v>1773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93</v>
      </c>
      <c r="AI38" s="38">
        <f t="shared" si="0"/>
        <v>545</v>
      </c>
      <c r="AJ38" s="38"/>
      <c r="AK38" s="38">
        <f>K59</f>
        <v>545</v>
      </c>
    </row>
    <row r="39" spans="1:37" s="2" customFormat="1" ht="15.75" customHeight="1" x14ac:dyDescent="0.25">
      <c r="A39" s="20" t="s">
        <v>94</v>
      </c>
      <c r="B39" s="41" t="s">
        <v>95</v>
      </c>
      <c r="C39" s="41"/>
      <c r="D39" s="41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96</v>
      </c>
      <c r="AI39" s="38">
        <f t="shared" si="0"/>
        <v>280</v>
      </c>
      <c r="AJ39" s="38"/>
      <c r="AK39" s="38">
        <f>K60</f>
        <v>280</v>
      </c>
    </row>
    <row r="40" spans="1:37" s="2" customFormat="1" ht="15.75" customHeight="1" x14ac:dyDescent="0.25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97</v>
      </c>
      <c r="AI40" s="38">
        <f t="shared" si="0"/>
        <v>1314</v>
      </c>
      <c r="AJ40" s="38"/>
      <c r="AK40" s="38">
        <f>C62</f>
        <v>1314</v>
      </c>
    </row>
    <row r="41" spans="1:37" s="2" customFormat="1" ht="15.75" customHeight="1" x14ac:dyDescent="0.3">
      <c r="A41" s="56" t="s">
        <v>98</v>
      </c>
      <c r="B41" s="57"/>
      <c r="C41" s="57"/>
      <c r="D41" s="57"/>
      <c r="E41" s="57"/>
      <c r="F41" s="57"/>
      <c r="G41" s="57"/>
      <c r="H41" s="57"/>
      <c r="I41" s="57"/>
      <c r="J41" s="57"/>
      <c r="K41" s="58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99</v>
      </c>
      <c r="AI41" s="38">
        <f t="shared" si="0"/>
        <v>1143</v>
      </c>
      <c r="AJ41" s="38"/>
      <c r="AK41" s="38">
        <f>D62</f>
        <v>1143</v>
      </c>
    </row>
    <row r="42" spans="1:37" s="2" customFormat="1" ht="15.75" customHeight="1" x14ac:dyDescent="0.25">
      <c r="A42" s="20" t="s">
        <v>100</v>
      </c>
      <c r="B42" s="62" t="s">
        <v>101</v>
      </c>
      <c r="C42" s="62"/>
      <c r="D42" s="62"/>
      <c r="E42" s="62"/>
      <c r="F42" s="62"/>
      <c r="G42" s="62"/>
      <c r="H42" s="62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102</v>
      </c>
      <c r="AI42" s="38" t="str">
        <f t="shared" si="0"/>
        <v>079741-000-DW-5212-0057 Rev. 0</v>
      </c>
      <c r="AJ42" s="38"/>
      <c r="AK42" s="38" t="str">
        <f>E62</f>
        <v>079741-000-DW-5212-0057 Rev. 0</v>
      </c>
    </row>
    <row r="43" spans="1:37" s="2" customFormat="1" ht="15.75" customHeight="1" x14ac:dyDescent="0.25">
      <c r="A43" s="20" t="s">
        <v>103</v>
      </c>
      <c r="B43" s="62" t="s">
        <v>104</v>
      </c>
      <c r="C43" s="62"/>
      <c r="D43" s="62"/>
      <c r="E43" s="62"/>
      <c r="F43" s="62"/>
      <c r="G43" s="62"/>
      <c r="H43" s="62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105</v>
      </c>
      <c r="AI43" s="38">
        <f t="shared" si="0"/>
        <v>152.4</v>
      </c>
      <c r="AJ43" s="38"/>
      <c r="AK43" s="38">
        <f>I62</f>
        <v>152.4</v>
      </c>
    </row>
    <row r="44" spans="1:37" s="2" customFormat="1" ht="15.75" customHeight="1" x14ac:dyDescent="0.25">
      <c r="A44" s="59" t="s">
        <v>106</v>
      </c>
      <c r="B44" s="60"/>
      <c r="C44" s="60"/>
      <c r="D44" s="60"/>
      <c r="E44" s="60"/>
      <c r="F44" s="60"/>
      <c r="G44" s="60"/>
      <c r="H44" s="60"/>
      <c r="I44" s="60"/>
      <c r="J44" s="16"/>
      <c r="K44" s="17">
        <v>990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107</v>
      </c>
      <c r="AI44" s="38">
        <f t="shared" si="0"/>
        <v>1795</v>
      </c>
      <c r="AJ44" s="38"/>
      <c r="AK44" s="38">
        <f>K62</f>
        <v>1795</v>
      </c>
    </row>
    <row r="45" spans="1:37" s="2" customFormat="1" ht="15.75" customHeight="1" x14ac:dyDescent="0.25">
      <c r="A45" s="59" t="s">
        <v>108</v>
      </c>
      <c r="B45" s="60"/>
      <c r="C45" s="60"/>
      <c r="D45" s="60"/>
      <c r="E45" s="60"/>
      <c r="F45" s="60"/>
      <c r="G45" s="60"/>
      <c r="H45" s="60"/>
      <c r="I45" s="60"/>
      <c r="J45" s="16"/>
      <c r="K45" s="17">
        <v>152.54902999999999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109</v>
      </c>
      <c r="AI45" s="38">
        <f t="shared" si="0"/>
        <v>2828</v>
      </c>
      <c r="AJ45" s="38"/>
      <c r="AK45" s="38">
        <f>C63</f>
        <v>2828</v>
      </c>
    </row>
    <row r="46" spans="1:37" s="2" customFormat="1" ht="15.75" customHeight="1" x14ac:dyDescent="0.25">
      <c r="A46" s="65" t="s">
        <v>110</v>
      </c>
      <c r="B46" s="66"/>
      <c r="C46" s="66"/>
      <c r="D46" s="66"/>
      <c r="E46" s="66"/>
      <c r="F46" s="66"/>
      <c r="G46" s="66"/>
      <c r="H46" s="66"/>
      <c r="I46" s="66"/>
      <c r="J46" s="27"/>
      <c r="K46" s="28">
        <v>377.8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111</v>
      </c>
      <c r="AI46" s="38">
        <f t="shared" si="0"/>
        <v>2460</v>
      </c>
      <c r="AJ46" s="38"/>
      <c r="AK46" s="38">
        <f>D63</f>
        <v>2460</v>
      </c>
    </row>
    <row r="47" spans="1:37" s="2" customFormat="1" ht="15.75" customHeight="1" x14ac:dyDescent="0.25">
      <c r="A47" s="65" t="s">
        <v>112</v>
      </c>
      <c r="B47" s="66"/>
      <c r="C47" s="66"/>
      <c r="D47" s="66"/>
      <c r="E47" s="66"/>
      <c r="F47" s="66"/>
      <c r="G47" s="66"/>
      <c r="H47" s="66"/>
      <c r="I47" s="6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113</v>
      </c>
      <c r="AI47" s="38" t="str">
        <f t="shared" si="0"/>
        <v>079741-000-DW-5224-0008 Rev. 0</v>
      </c>
      <c r="AJ47" s="38"/>
      <c r="AK47" s="38" t="str">
        <f>E63</f>
        <v>079741-000-DW-5224-0008 Rev. 0</v>
      </c>
    </row>
    <row r="48" spans="1:37" s="2" customFormat="1" ht="15.75" customHeight="1" x14ac:dyDescent="0.25">
      <c r="A48" s="13" t="s">
        <v>114</v>
      </c>
      <c r="B48" s="16"/>
      <c r="C48" s="16"/>
      <c r="D48" s="26">
        <v>193.26</v>
      </c>
      <c r="E48" s="16"/>
      <c r="F48" s="16" t="s">
        <v>115</v>
      </c>
      <c r="G48" s="16"/>
      <c r="H48" s="16"/>
      <c r="I48" s="16"/>
      <c r="J48" s="16"/>
      <c r="K48" s="17">
        <v>213.96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116</v>
      </c>
      <c r="AI48" s="38">
        <f t="shared" si="0"/>
        <v>404</v>
      </c>
      <c r="AJ48" s="38"/>
      <c r="AK48" s="38">
        <f>I63</f>
        <v>404</v>
      </c>
    </row>
    <row r="49" spans="1:37" s="2" customFormat="1" ht="15.75" customHeight="1" x14ac:dyDescent="0.25">
      <c r="A49" s="13" t="s">
        <v>117</v>
      </c>
      <c r="B49" s="8"/>
      <c r="C49" s="8"/>
      <c r="D49" s="26">
        <v>78.36</v>
      </c>
      <c r="E49" s="8"/>
      <c r="F49" s="16" t="s">
        <v>118</v>
      </c>
      <c r="G49" s="8"/>
      <c r="H49" s="8"/>
      <c r="I49" s="8"/>
      <c r="J49" s="8"/>
      <c r="K49" s="17">
        <v>99.05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119</v>
      </c>
      <c r="AI49" s="38">
        <f t="shared" si="0"/>
        <v>774</v>
      </c>
      <c r="AJ49" s="38"/>
      <c r="AK49" s="38">
        <f>J63</f>
        <v>774</v>
      </c>
    </row>
    <row r="50" spans="1:37" s="2" customFormat="1" ht="15.75" customHeight="1" x14ac:dyDescent="0.25">
      <c r="A50" s="65" t="s">
        <v>120</v>
      </c>
      <c r="B50" s="66"/>
      <c r="C50" s="66"/>
      <c r="D50" s="66"/>
      <c r="E50" s="66"/>
      <c r="F50" s="66"/>
      <c r="G50" s="66"/>
      <c r="H50" s="66"/>
      <c r="I50" s="66"/>
      <c r="J50" s="27"/>
      <c r="K50" s="19">
        <v>3.07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121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 x14ac:dyDescent="0.25">
      <c r="A51" s="59" t="s">
        <v>122</v>
      </c>
      <c r="B51" s="60"/>
      <c r="C51" s="60"/>
      <c r="D51" s="60"/>
      <c r="E51" s="60"/>
      <c r="F51" s="60"/>
      <c r="G51" s="60"/>
      <c r="H51" s="60"/>
      <c r="I51" s="60"/>
      <c r="J51" s="16"/>
      <c r="K51" s="19">
        <v>148.29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123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 x14ac:dyDescent="0.25">
      <c r="A52" s="59" t="s">
        <v>124</v>
      </c>
      <c r="B52" s="60"/>
      <c r="C52" s="60"/>
      <c r="D52" s="60"/>
      <c r="E52" s="60"/>
      <c r="F52" s="60"/>
      <c r="G52" s="60"/>
      <c r="H52" s="60"/>
      <c r="I52" s="60"/>
      <c r="J52" s="16"/>
      <c r="K52" s="19" t="s">
        <v>125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126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 x14ac:dyDescent="0.25">
      <c r="A53" s="13" t="s">
        <v>127</v>
      </c>
      <c r="B53" s="16"/>
      <c r="C53" s="16"/>
      <c r="D53" s="16"/>
      <c r="E53" s="16"/>
      <c r="F53" s="16"/>
      <c r="G53" s="16"/>
      <c r="H53" s="16"/>
      <c r="I53" s="16"/>
      <c r="J53" s="16"/>
      <c r="K53" s="30">
        <v>9.8150000000000008E-3</v>
      </c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128</v>
      </c>
      <c r="AI53" s="38">
        <f t="shared" si="0"/>
        <v>180</v>
      </c>
      <c r="AJ53" s="38"/>
      <c r="AK53" s="38">
        <f>C65</f>
        <v>180</v>
      </c>
    </row>
    <row r="54" spans="1:37" s="2" customFormat="1" ht="15.75" customHeight="1" x14ac:dyDescent="0.25">
      <c r="A54" s="13" t="s">
        <v>129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130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131</v>
      </c>
      <c r="AI54" s="38">
        <f t="shared" si="0"/>
        <v>156.6</v>
      </c>
      <c r="AJ54" s="38"/>
      <c r="AK54" s="38">
        <f>D65</f>
        <v>156.6</v>
      </c>
    </row>
    <row r="55" spans="1:37" s="2" customFormat="1" ht="15.75" customHeight="1" x14ac:dyDescent="0.25">
      <c r="A55" s="20" t="s">
        <v>132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4515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133</v>
      </c>
      <c r="AI55" s="38" t="str">
        <f t="shared" si="0"/>
        <v>079741-000-DW-5104-0017 POS 16 Rev. 1</v>
      </c>
      <c r="AJ55" s="38"/>
      <c r="AK55" s="38" t="str">
        <f>E65</f>
        <v>079741-000-DW-5104-0017 POS 16 Rev. 1</v>
      </c>
    </row>
    <row r="56" spans="1:37" s="2" customFormat="1" ht="15.75" customHeight="1" x14ac:dyDescent="0.25">
      <c r="A56" s="20" t="s">
        <v>134</v>
      </c>
      <c r="B56" s="8"/>
      <c r="C56" s="8"/>
      <c r="D56" s="16"/>
      <c r="E56" s="16"/>
      <c r="F56" s="16"/>
      <c r="G56" s="8"/>
      <c r="H56" s="8"/>
      <c r="I56" s="8"/>
      <c r="J56" s="8"/>
      <c r="K56" s="31" t="s">
        <v>135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136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 x14ac:dyDescent="0.25">
      <c r="A57" s="20" t="s">
        <v>137</v>
      </c>
      <c r="B57" s="8"/>
      <c r="C57" s="8"/>
      <c r="D57" s="16"/>
      <c r="E57" s="16"/>
      <c r="F57" s="16"/>
      <c r="G57" s="8"/>
      <c r="H57" s="8"/>
      <c r="I57" s="8"/>
      <c r="J57" s="8"/>
      <c r="K57" s="31" t="s">
        <v>135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25">
      <c r="A58" s="20" t="s">
        <v>138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3.4140000000000001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25">
      <c r="A59" s="20" t="s">
        <v>139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545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25">
      <c r="A60" s="20" t="s">
        <v>140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280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25">
      <c r="A61" s="13"/>
      <c r="B61" s="23" t="s">
        <v>82</v>
      </c>
      <c r="C61" s="16" t="s">
        <v>141</v>
      </c>
      <c r="D61" s="16" t="s">
        <v>84</v>
      </c>
      <c r="E61" s="67" t="s">
        <v>142</v>
      </c>
      <c r="F61" s="67"/>
      <c r="G61" s="67" t="s">
        <v>143</v>
      </c>
      <c r="H61" s="67"/>
      <c r="I61" s="23" t="s">
        <v>144</v>
      </c>
      <c r="J61" s="23" t="s">
        <v>145</v>
      </c>
      <c r="K61" s="32" t="s">
        <v>146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25">
      <c r="A62" s="13" t="s">
        <v>147</v>
      </c>
      <c r="B62" s="25">
        <v>12</v>
      </c>
      <c r="C62" s="33">
        <v>1314</v>
      </c>
      <c r="D62" s="33">
        <v>1143</v>
      </c>
      <c r="E62" s="63" t="s">
        <v>148</v>
      </c>
      <c r="F62" s="63"/>
      <c r="G62" s="8"/>
      <c r="H62" s="16"/>
      <c r="I62" s="34">
        <v>152.4</v>
      </c>
      <c r="J62" s="23"/>
      <c r="K62" s="17">
        <v>1795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25">
      <c r="A63" s="13" t="s">
        <v>149</v>
      </c>
      <c r="B63" s="25">
        <v>23</v>
      </c>
      <c r="C63" s="33">
        <v>2828</v>
      </c>
      <c r="D63" s="33">
        <v>2460</v>
      </c>
      <c r="E63" s="63" t="s">
        <v>150</v>
      </c>
      <c r="F63" s="63"/>
      <c r="G63" s="8"/>
      <c r="H63" s="16"/>
      <c r="I63" s="34">
        <v>404</v>
      </c>
      <c r="J63" s="34">
        <v>774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25">
      <c r="A64" s="13" t="s">
        <v>151</v>
      </c>
      <c r="B64" s="25" t="s">
        <v>125</v>
      </c>
      <c r="C64" s="33" t="e">
        <v>#N/A</v>
      </c>
      <c r="D64" s="33" t="e">
        <v>#N/A</v>
      </c>
      <c r="E64" s="63" t="e">
        <v>#N/A</v>
      </c>
      <c r="F64" s="63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25">
      <c r="A65" s="13" t="s">
        <v>152</v>
      </c>
      <c r="B65" s="25">
        <v>38</v>
      </c>
      <c r="C65" s="33">
        <v>180</v>
      </c>
      <c r="D65" s="33">
        <v>156.6</v>
      </c>
      <c r="E65" s="63" t="s">
        <v>153</v>
      </c>
      <c r="F65" s="63"/>
      <c r="G65" s="64"/>
      <c r="H65" s="64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3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25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2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2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2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2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2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2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2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2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2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2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2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2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2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2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2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2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2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2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2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2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2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2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2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2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2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2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2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2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2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2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2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2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2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2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2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2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2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2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2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2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2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2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2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2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2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2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2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2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2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2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2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2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2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2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2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2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2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2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2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2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2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2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2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2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2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2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2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2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2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2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2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2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2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2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2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2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6A5233-7778-4B54-912D-AFA6F03A4052}">
  <ds:schemaRefs>
    <ds:schemaRef ds:uri="http://schemas.microsoft.com/office/2006/metadata/properties"/>
    <ds:schemaRef ds:uri="http://schemas.microsoft.com/office/infopath/2007/PartnerControls"/>
    <ds:schemaRef ds:uri="7240fca1-d5d8-4b7d-af8f-d58b11c87bd0"/>
    <ds:schemaRef ds:uri="e22693a2-11d8-4e06-9932-42f8499655b9"/>
  </ds:schemaRefs>
</ds:datastoreItem>
</file>

<file path=customXml/itemProps2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DC0164-6173-4BF2-B325-253641A83B1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Sarah Silva</cp:lastModifiedBy>
  <cp:revision/>
  <dcterms:created xsi:type="dcterms:W3CDTF">2023-08-09T12:58:42Z</dcterms:created>
  <dcterms:modified xsi:type="dcterms:W3CDTF">2024-10-09T17:36:31Z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