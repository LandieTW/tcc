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BVPCloud/Shared Documents/SKOR/PE-07-24-82-SOR/3004/1-Referências Técnicas/"/>
    </mc:Choice>
  </mc:AlternateContent>
  <xr:revisionPtr revIDLastSave="43" documentId="13_ncr:1_{457DFE4B-8358-4DBE-854B-3AC1E02AEFAE}" xr6:coauthVersionLast="47" xr6:coauthVersionMax="47" xr10:uidLastSave="{E1A15403-FE69-48F2-A272-7A0B0A78820E}"/>
  <bookViews>
    <workbookView xWindow="38280" yWindow="-120" windowWidth="29040" windowHeight="1584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 s="1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/>
  <c r="AK35" i="2"/>
  <c r="AI35" i="2" s="1"/>
  <c r="AK34" i="2"/>
  <c r="AI34" i="2" s="1"/>
  <c r="AK33" i="2"/>
  <c r="AI33" i="2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/>
    </comment>
    <comment ref="F37" authorId="0" shapeId="0" xr:uid="{E62C72E8-9D93-4B02-8579-C94C5E7F8577}">
      <text/>
    </comment>
    <comment ref="G37" authorId="0" shapeId="0" xr:uid="{BB0C6ED1-DE7B-40CD-A485-443408D5399A}">
      <text/>
    </comment>
    <comment ref="H37" authorId="0" shapeId="0" xr:uid="{CC93C620-E91F-4A7B-A5D2-BB4D2AD24236}">
      <text/>
    </comment>
    <comment ref="I37" authorId="0" shapeId="0" xr:uid="{64B094A2-2E1B-4DBD-B086-55FEA16188D1}">
      <text/>
    </comment>
    <comment ref="J37" authorId="0" shapeId="0" xr:uid="{E40922A5-90D6-40FC-AAED-5EFA069F7185}">
      <text/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/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/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/>
    </comment>
    <comment ref="I63" authorId="0" shapeId="0" xr:uid="{74A5DA25-C9DB-4893-A959-B86258A25A24}">
      <text/>
    </comment>
    <comment ref="J63" authorId="0" shapeId="0" xr:uid="{F2741E79-A3FA-4AE6-8F09-581A1F280001}">
      <text/>
    </comment>
  </commentList>
</comments>
</file>

<file path=xl/sharedStrings.xml><?xml version="1.0" encoding="utf-8"?>
<sst xmlns="http://schemas.openxmlformats.org/spreadsheetml/2006/main" count="158" uniqueCount="155">
  <si>
    <t>RT de CVD / CHD / DCVD Rev.5</t>
  </si>
  <si>
    <t>Chave</t>
  </si>
  <si>
    <t>Valor</t>
  </si>
  <si>
    <t>Formulas</t>
  </si>
  <si>
    <t>LDA</t>
  </si>
  <si>
    <t>Instruções: Solicitar o estudo por meio do botão "Emitir RT", presente na aba Fluxo de desenvolvimento, que enviará um e-mail contendo um arquivo .xls anexo.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</si>
  <si>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</si>
  <si>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</si>
  <si>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</si>
  <si>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</si>
  <si>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</si>
  <si>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</si>
  <si>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</si>
  <si>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Mariana Duarte</t>
  </si>
  <si>
    <t>PLANILHA_EQSB_REV</t>
  </si>
  <si>
    <t>Instruções: Copiar para a pasta abaixo: Unifilar da linha, desenhos dos acessórios e equipamentos, datasheet das estruturas,  RL com curva de rigidez das estruturas e quaisquer outras informações necessárias.</t>
  </si>
  <si>
    <t>EQUIPAMENTO_SUBMARINO</t>
  </si>
  <si>
    <t>RL_ARQUIVO</t>
  </si>
  <si>
    <t>RL_REV</t>
  </si>
  <si>
    <t>MCV_PESO_AR</t>
  </si>
  <si>
    <t>Pasta com inputs:</t>
  </si>
  <si>
    <t>C:\Users\mduarte\Digicorner\Subsea Engineering - Brazil Vessel Projects - 03-SKR\01-PEs\2024\PE-07-24-82-SOR_GL_7-MRL-230HP-RJS_FPSO ANITA GARIBALDI\02-Verificacoes e Calculos\03-Analises\RT-3004-CVD\Dados</t>
  </si>
  <si>
    <t>MCV_PESO_AGUA</t>
  </si>
  <si>
    <t>MCV_COTA_A</t>
  </si>
  <si>
    <t>Título do estudo:</t>
  </si>
  <si>
    <t>CVD de 1ª de Gas Lift para o poço 7-MRL-230HP-RJS</t>
  </si>
  <si>
    <t>MCV_COTA_B</t>
  </si>
  <si>
    <t>MCV_COTA_C</t>
  </si>
  <si>
    <t>Comentários:</t>
  </si>
  <si>
    <t>Especificar a coluna da FOLHA DE DADOS correspondente ao MCV/MCH a ser utilizado quando equipamento diferente do especificado para a aplicação da linha na documentação.
Caso inclua comentários no campo, replique-os no app de Controle de RTs na emissão (campo de comentários adicionais)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</si>
  <si>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</si>
  <si>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</si>
  <si>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</si>
  <si>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</si>
  <si>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</si>
  <si>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</si>
  <si>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</si>
  <si>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INTERLIGAÇÃO DA LINHA DE GL DO POÇO 7-MRL-230HP AO FPSO ANITA GARIBALDI</t>
  </si>
  <si>
    <t>TRAMO_CURVA_HISTERESE</t>
  </si>
  <si>
    <t>Número do MD</t>
  </si>
  <si>
    <t>MD-3534.00-1500-941-R1N-169</t>
  </si>
  <si>
    <t>Revisão do MD</t>
  </si>
  <si>
    <t>TRAMO_COMPRIMENTO</t>
  </si>
  <si>
    <t>TRAMO_ESTRUTURA</t>
  </si>
  <si>
    <t>PLSV</t>
  </si>
  <si>
    <t>SKR</t>
  </si>
  <si>
    <t>TRAMO_OD</t>
  </si>
  <si>
    <t>Poço</t>
  </si>
  <si>
    <t>7-MRL-230HP-RJS</t>
  </si>
  <si>
    <t>TRAMO_ID</t>
  </si>
  <si>
    <t>Aplicação da linha</t>
  </si>
  <si>
    <t>GL</t>
  </si>
  <si>
    <t>TRAMO_PESO_VAZIO_AR</t>
  </si>
  <si>
    <t>Projeto</t>
  </si>
  <si>
    <t>S51890</t>
  </si>
  <si>
    <t>TRAMO_PESO_VAZIO_AGUA</t>
  </si>
  <si>
    <t>LDA [m]</t>
  </si>
  <si>
    <t>TRAMO_PESO_CHEIO_AR</t>
  </si>
  <si>
    <t>*Sequência operacional [CVD/DCVD/CHD de 1ª ou 2ª]</t>
  </si>
  <si>
    <t>CVD de 1ª</t>
  </si>
  <si>
    <t>TRAMO_PESO_CHEIO_AGUA</t>
  </si>
  <si>
    <t>*Condição de lançamento da linha [vazia ou cheia]</t>
  </si>
  <si>
    <t>Cheia</t>
  </si>
  <si>
    <t>TRAMO_MBR_INSTALACAO</t>
  </si>
  <si>
    <t>Campo</t>
  </si>
  <si>
    <t>Marlim</t>
  </si>
  <si>
    <t>TRAMO_RIGIDEZ_FLEXAO</t>
  </si>
  <si>
    <t>Equipamentos Submarinos</t>
  </si>
  <si>
    <t>TRAMO_RIGIDEZ_AXIAL</t>
  </si>
  <si>
    <t>Planilha EQSB:</t>
  </si>
  <si>
    <t>FD-3534.00-1516-619-PEK-047</t>
  </si>
  <si>
    <t>Rev:</t>
  </si>
  <si>
    <t>B</t>
  </si>
  <si>
    <t>TRAMO_RELATIVE_ELONGATION</t>
  </si>
  <si>
    <t>TRAMO_FABRICANTE</t>
  </si>
  <si>
    <t>*Equipamento Submarino:</t>
  </si>
  <si>
    <t>BAP</t>
  </si>
  <si>
    <t>COMPRIMENTO_MAXIMO_GOMOS_VERTEBRA</t>
  </si>
  <si>
    <t>MOMENTO_FLETOR_ADMISSIVEL_VERTEBRA</t>
  </si>
  <si>
    <t>RL:</t>
  </si>
  <si>
    <t>RL-3534.00-1500-94G-R1N-087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</si>
  <si>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</si>
  <si>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</si>
  <si>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</si>
  <si>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</si>
  <si>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</si>
  <si>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</si>
  <si>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</si>
  <si>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</si>
  <si>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</si>
  <si>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</si>
  <si>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</si>
  <si>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</si>
  <si>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</si>
  <si>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</si>
  <si>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 xml:space="preserve">2184362-14 / SK-130685-17 Rev. </t>
  </si>
  <si>
    <t>DIAMETRO_PESCOCO_CONECTOR</t>
  </si>
  <si>
    <t>CONECTOR_PESO_AR</t>
  </si>
  <si>
    <t>Tramos</t>
  </si>
  <si>
    <t>CONECTOR_PESO_AGUA</t>
  </si>
  <si>
    <t>Flow@MCV/MCH</t>
  </si>
  <si>
    <t>15762NOV511</t>
  </si>
  <si>
    <t>CONECTOR_DESENHO</t>
  </si>
  <si>
    <t>*Curva de histerese</t>
  </si>
  <si>
    <t>C:\Users\mduarte\Digicorner\Subsea Engineering - Brazil Vessel Projects - 03-SKR\01-PEs\2024\PE-07-24-82-SOR_GL_7-MRL-230HP-RJS_FPSO ANITA GARIBALDI\06-Documento\04-0\01-Anexos</t>
  </si>
  <si>
    <t>CONECTOR_ID</t>
  </si>
  <si>
    <t>Comprimento - L [m]</t>
  </si>
  <si>
    <t>CONECTOR_COMPRIMENTO</t>
  </si>
  <si>
    <t>Estrutura</t>
  </si>
  <si>
    <t>NOV-101-9101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</si>
  <si>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</si>
  <si>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</si>
  <si>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</si>
  <si>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</si>
  <si>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</si>
  <si>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</si>
  <si>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</si>
  <si>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</si>
  <si>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</si>
  <si>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</si>
  <si>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</si>
  <si>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</si>
  <si>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</si>
  <si>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</si>
  <si>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Ver curvas</t>
  </si>
  <si>
    <t>ADAPTADOR_PESO_AGUA</t>
  </si>
  <si>
    <t>*Rigidez axial [kN]</t>
  </si>
  <si>
    <t>ADAPTADOR_DESENHO</t>
  </si>
  <si>
    <t>*Relative elongation for 100kN [%] - caso datasheet não tenha rigidez axial</t>
  </si>
  <si>
    <t>ANODO_PESO_AR</t>
  </si>
  <si>
    <t>Fabricante [selecionar]</t>
  </si>
  <si>
    <t>NOV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</si>
  <si>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</si>
  <si>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</si>
  <si>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</si>
  <si>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</si>
  <si>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</si>
  <si>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</si>
  <si>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</si>
  <si>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</si>
  <si>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</si>
  <si>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</si>
  <si>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</si>
  <si>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</si>
  <si>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</si>
  <si>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</si>
  <si>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</si>
  <si>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</si>
  <si>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15163-NOV-9101-4_5_STD Rev. 0</t>
  </si>
  <si>
    <t>*Vértebra:</t>
  </si>
  <si>
    <t>224254-12427 Rev. 05</t>
  </si>
  <si>
    <t>*Adaptador:</t>
  </si>
  <si>
    <t xml:space="preserve">DE-F-05-J-0158 Rev. </t>
  </si>
  <si>
    <t>*Anodo</t>
  </si>
  <si>
    <t>15762-DWG-CP-102 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</si>
</sst>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0024D-3F54-4E7A-986F-FC337C64C9B6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50329518-e716-4810-81a8-e8cd3b9afb6c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topLeftCell="A37" zoomScale="85" zoomScaleNormal="85" workbookViewId="0">
      <selection activeCell="E64" sqref="E64:F64"/>
    </sheetView>
  </sheetViews>
  <sheetFormatPr defaultColWidth="9" defaultRowHeight="14.6" x14ac:dyDescent="0.4"/>
  <cols>
    <col min="1" max="1" width="16.53515625" style="38" customWidth="1"/>
    <col min="2" max="2" width="14" style="38" customWidth="1"/>
    <col min="3" max="3" width="14.84375" style="38" customWidth="1"/>
    <col min="4" max="4" width="15.84375" style="38" customWidth="1"/>
    <col min="5" max="5" width="9.6914062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69140625" style="38" customWidth="1"/>
    <col min="11" max="11" width="17.69140625" style="38" customWidth="1"/>
    <col min="12" max="12" width="2.843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3.6" thickBot="1" x14ac:dyDescent="0.65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6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 x14ac:dyDescent="0.4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735</v>
      </c>
      <c r="AJ2" s="38"/>
      <c r="AK2" s="38">
        <f>K27</f>
        <v>735</v>
      </c>
    </row>
    <row r="3" spans="1:37" s="2" customFormat="1" ht="15.75" customHeight="1" x14ac:dyDescent="0.4">
      <c r="A3" s="57" t="s">
        <v>5</v>
      </c>
      <c r="B3" s="58"/>
      <c r="C3" s="58"/>
      <c r="D3" s="58"/>
      <c r="E3" s="58"/>
      <c r="F3" s="58"/>
      <c r="G3" s="58"/>
      <c r="H3" s="58"/>
      <c r="I3" s="58"/>
      <c r="J3" s="58"/>
      <c r="K3" s="59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6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 x14ac:dyDescent="0.45">
      <c r="A4" s="60"/>
      <c r="B4" s="61"/>
      <c r="C4" s="61"/>
      <c r="D4" s="61"/>
      <c r="E4" s="61"/>
      <c r="F4" s="61"/>
      <c r="G4" s="61"/>
      <c r="H4" s="61"/>
      <c r="I4" s="61"/>
      <c r="J4" s="61"/>
      <c r="K4" s="62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7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 x14ac:dyDescent="0.4">
      <c r="A5" s="7" t="s">
        <v>8</v>
      </c>
      <c r="B5" s="63">
        <v>3004</v>
      </c>
      <c r="C5" s="63"/>
      <c r="D5" s="8"/>
      <c r="E5" s="1" t="s">
        <v>9</v>
      </c>
      <c r="F5" s="9">
        <v>0</v>
      </c>
      <c r="G5" s="1"/>
      <c r="H5" s="1" t="s">
        <v>10</v>
      </c>
      <c r="I5" s="10">
        <v>45485.875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11</v>
      </c>
      <c r="AI5" s="38" t="str">
        <f t="shared" si="0"/>
        <v>FD-3534.00-1516-619-PEK-047</v>
      </c>
      <c r="AJ5" s="38"/>
      <c r="AK5" s="38" t="str">
        <f>B32</f>
        <v>FD-3534.00-1516-619-PEK-047</v>
      </c>
    </row>
    <row r="6" spans="1:37" s="2" customFormat="1" ht="15.75" customHeight="1" x14ac:dyDescent="0.4">
      <c r="A6" s="7" t="s">
        <v>12</v>
      </c>
      <c r="B6" s="64" t="s">
        <v>13</v>
      </c>
      <c r="C6" s="64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14</v>
      </c>
      <c r="AI6" s="38" t="str">
        <f t="shared" si="0"/>
        <v>B</v>
      </c>
      <c r="AJ6" s="38"/>
      <c r="AK6" s="38" t="str">
        <f>F32</f>
        <v>B</v>
      </c>
    </row>
    <row r="7" spans="1:37" s="2" customFormat="1" ht="15.75" customHeight="1" x14ac:dyDescent="0.4">
      <c r="A7" s="57" t="s">
        <v>15</v>
      </c>
      <c r="B7" s="58"/>
      <c r="C7" s="58"/>
      <c r="D7" s="58"/>
      <c r="E7" s="58"/>
      <c r="F7" s="58"/>
      <c r="G7" s="58"/>
      <c r="H7" s="58"/>
      <c r="I7" s="58"/>
      <c r="J7" s="58"/>
      <c r="K7" s="59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16</v>
      </c>
      <c r="AI7" s="38" t="str">
        <f t="shared" si="0"/>
        <v>BAP</v>
      </c>
      <c r="AJ7" s="38"/>
      <c r="AK7" s="38" t="str">
        <f>C34</f>
        <v>BAP</v>
      </c>
    </row>
    <row r="8" spans="1:37" s="2" customFormat="1" ht="15.75" customHeight="1" x14ac:dyDescent="0.4">
      <c r="A8" s="57"/>
      <c r="B8" s="58"/>
      <c r="C8" s="58"/>
      <c r="D8" s="58"/>
      <c r="E8" s="58"/>
      <c r="F8" s="58"/>
      <c r="G8" s="58"/>
      <c r="H8" s="58"/>
      <c r="I8" s="58"/>
      <c r="J8" s="58"/>
      <c r="K8" s="59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17</v>
      </c>
      <c r="AI8" s="38" t="str">
        <f t="shared" si="0"/>
        <v>RL-3534.00-1500-94G-R1N-087</v>
      </c>
      <c r="AJ8" s="38"/>
      <c r="AK8" s="38" t="str">
        <f>B36</f>
        <v>RL-3534.00-1500-94G-R1N-087</v>
      </c>
    </row>
    <row r="9" spans="1:37" s="2" customFormat="1" ht="15.75" customHeight="1" x14ac:dyDescent="0.4">
      <c r="A9" s="57"/>
      <c r="B9" s="58"/>
      <c r="C9" s="58"/>
      <c r="D9" s="58"/>
      <c r="E9" s="58"/>
      <c r="F9" s="58"/>
      <c r="G9" s="58"/>
      <c r="H9" s="58"/>
      <c r="I9" s="58"/>
      <c r="J9" s="58"/>
      <c r="K9" s="59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18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 x14ac:dyDescent="0.4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19</v>
      </c>
      <c r="AI10" s="38">
        <f t="shared" si="0"/>
        <v>4126.8</v>
      </c>
      <c r="AJ10" s="38"/>
      <c r="AK10" s="38">
        <f>C38</f>
        <v>4126.8</v>
      </c>
    </row>
    <row r="11" spans="1:37" s="2" customFormat="1" ht="15.75" customHeight="1" x14ac:dyDescent="0.4">
      <c r="A11" s="13" t="s">
        <v>20</v>
      </c>
      <c r="B11" s="8"/>
      <c r="C11" s="52" t="s">
        <v>21</v>
      </c>
      <c r="D11" s="52"/>
      <c r="E11" s="52"/>
      <c r="F11" s="52"/>
      <c r="G11" s="52"/>
      <c r="H11" s="52"/>
      <c r="I11" s="52"/>
      <c r="J11" s="52"/>
      <c r="K11" s="65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22</v>
      </c>
      <c r="AI11" s="38">
        <f t="shared" si="0"/>
        <v>3590.3160000000003</v>
      </c>
      <c r="AJ11" s="38"/>
      <c r="AK11" s="38">
        <f>D38</f>
        <v>3590.3160000000003</v>
      </c>
    </row>
    <row r="12" spans="1:37" s="2" customFormat="1" ht="15.75" customHeight="1" x14ac:dyDescent="0.4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23</v>
      </c>
      <c r="AI12" s="38">
        <f t="shared" si="0"/>
        <v>4598</v>
      </c>
      <c r="AJ12" s="38"/>
      <c r="AK12" s="38">
        <f>E38</f>
        <v>4598</v>
      </c>
    </row>
    <row r="13" spans="1:37" s="2" customFormat="1" ht="15.75" customHeight="1" x14ac:dyDescent="0.4">
      <c r="A13" s="13" t="s">
        <v>24</v>
      </c>
      <c r="B13" s="8"/>
      <c r="C13" s="52" t="s">
        <v>25</v>
      </c>
      <c r="D13" s="52"/>
      <c r="E13" s="52"/>
      <c r="F13" s="52"/>
      <c r="G13" s="52"/>
      <c r="H13" s="52"/>
      <c r="I13" s="52"/>
      <c r="J13" s="52"/>
      <c r="K13" s="65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26</v>
      </c>
      <c r="AI13" s="38">
        <f t="shared" si="0"/>
        <v>862</v>
      </c>
      <c r="AJ13" s="38"/>
      <c r="AK13" s="38">
        <f>F38</f>
        <v>862</v>
      </c>
    </row>
    <row r="14" spans="1:37" s="2" customFormat="1" ht="15.75" customHeight="1" x14ac:dyDescent="0.4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27</v>
      </c>
      <c r="AI14" s="38">
        <f t="shared" si="0"/>
        <v>1510</v>
      </c>
      <c r="AJ14" s="38"/>
      <c r="AK14" s="38">
        <f>G38</f>
        <v>1510</v>
      </c>
    </row>
    <row r="15" spans="1:37" s="2" customFormat="1" x14ac:dyDescent="0.4">
      <c r="A15" s="57" t="s">
        <v>28</v>
      </c>
      <c r="B15" s="58"/>
      <c r="C15" s="66" t="s">
        <v>29</v>
      </c>
      <c r="D15" s="66"/>
      <c r="E15" s="66"/>
      <c r="F15" s="66"/>
      <c r="G15" s="66"/>
      <c r="H15" s="66"/>
      <c r="I15" s="66"/>
      <c r="J15" s="66"/>
      <c r="K15" s="67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30</v>
      </c>
      <c r="AI15" s="38">
        <f t="shared" si="0"/>
        <v>211</v>
      </c>
      <c r="AJ15" s="38"/>
      <c r="AK15" s="38">
        <f>H38</f>
        <v>211</v>
      </c>
    </row>
    <row r="16" spans="1:37" s="2" customFormat="1" x14ac:dyDescent="0.4">
      <c r="A16" s="57"/>
      <c r="B16" s="58"/>
      <c r="C16" s="66"/>
      <c r="D16" s="66"/>
      <c r="E16" s="66"/>
      <c r="F16" s="66"/>
      <c r="G16" s="66"/>
      <c r="H16" s="66"/>
      <c r="I16" s="66"/>
      <c r="J16" s="66"/>
      <c r="K16" s="67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31</v>
      </c>
      <c r="AI16" s="38">
        <f t="shared" si="0"/>
        <v>1556</v>
      </c>
      <c r="AJ16" s="38"/>
      <c r="AK16" s="38">
        <f>I38</f>
        <v>1556</v>
      </c>
    </row>
    <row r="17" spans="1:37" s="2" customFormat="1" x14ac:dyDescent="0.4">
      <c r="A17" s="57"/>
      <c r="B17" s="58"/>
      <c r="C17" s="66"/>
      <c r="D17" s="66"/>
      <c r="E17" s="66"/>
      <c r="F17" s="66"/>
      <c r="G17" s="66"/>
      <c r="H17" s="66"/>
      <c r="I17" s="66"/>
      <c r="J17" s="66"/>
      <c r="K17" s="67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32</v>
      </c>
      <c r="AI17" s="38">
        <f t="shared" si="0"/>
        <v>1122</v>
      </c>
      <c r="AJ17" s="38"/>
      <c r="AK17" s="38">
        <f>J38</f>
        <v>1122</v>
      </c>
    </row>
    <row r="18" spans="1:37" s="2" customFormat="1" ht="15.75" customHeight="1" x14ac:dyDescent="0.4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33</v>
      </c>
      <c r="AI18" s="38" t="str">
        <f t="shared" si="0"/>
        <v xml:space="preserve">2184362-14 / SK-130685-17 Rev. </v>
      </c>
      <c r="AJ18" s="38"/>
      <c r="AK18" s="38" t="str">
        <f>B39</f>
        <v xml:space="preserve">2184362-14 / SK-130685-17 Rev. </v>
      </c>
    </row>
    <row r="19" spans="1:37" s="2" customFormat="1" ht="15.75" customHeight="1" x14ac:dyDescent="0.5">
      <c r="A19" s="48" t="s">
        <v>34</v>
      </c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35</v>
      </c>
      <c r="AI19" s="38" t="str">
        <f t="shared" si="0"/>
        <v>15762NOV511</v>
      </c>
      <c r="AJ19" s="38"/>
      <c r="AK19" s="38" t="str">
        <f>B42</f>
        <v>15762NOV511</v>
      </c>
    </row>
    <row r="20" spans="1:37" s="2" customFormat="1" ht="15.75" customHeight="1" x14ac:dyDescent="0.5">
      <c r="A20" s="13" t="s">
        <v>36</v>
      </c>
      <c r="B20" s="15"/>
      <c r="C20" s="52" t="s">
        <v>37</v>
      </c>
      <c r="D20" s="52"/>
      <c r="E20" s="52"/>
      <c r="F20" s="52"/>
      <c r="G20" s="52"/>
      <c r="H20" s="52"/>
      <c r="I20" s="52"/>
      <c r="J20" s="52"/>
      <c r="K20" s="65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38</v>
      </c>
      <c r="AI20" s="38" t="str">
        <f t="shared" si="0"/>
        <v>C:\Users\mduarte\Digicorner\Subsea Engineering - Brazil Vessel Projects - 03-SKR\01-PEs\2024\PE-07-24-82-SOR_GL_7-MRL-230HP-RJS_FPSO ANITA GARIBALDI\06-Documento\04-0\01-Anexos</v>
      </c>
      <c r="AJ20" s="38"/>
      <c r="AK20" s="38" t="str">
        <f>B43</f>
        <v>C:\Users\mduarte\Digicorner\Subsea Engineering - Brazil Vessel Projects - 03-SKR\01-PEs\2024\PE-07-24-82-SOR_GL_7-MRL-230HP-RJS_FPSO ANITA GARIBALDI\06-Documento\04-0\01-Anexos</v>
      </c>
    </row>
    <row r="21" spans="1:37" s="2" customFormat="1" ht="15.75" customHeight="1" x14ac:dyDescent="0.5">
      <c r="A21" s="13" t="s">
        <v>39</v>
      </c>
      <c r="B21" s="15"/>
      <c r="C21" s="52" t="s">
        <v>40</v>
      </c>
      <c r="D21" s="52"/>
      <c r="E21" s="52"/>
      <c r="F21" s="15"/>
      <c r="G21" s="15"/>
      <c r="H21" s="15"/>
      <c r="I21" s="16" t="s">
        <v>41</v>
      </c>
      <c r="J21" s="16"/>
      <c r="K21" s="17">
        <v>0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42</v>
      </c>
      <c r="AI21" s="38">
        <f t="shared" si="0"/>
        <v>1975</v>
      </c>
      <c r="AJ21" s="38"/>
      <c r="AK21" s="38">
        <f>K44</f>
        <v>1975</v>
      </c>
    </row>
    <row r="22" spans="1:37" s="2" customFormat="1" ht="15.75" customHeight="1" x14ac:dyDescent="0.4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43</v>
      </c>
      <c r="AI22" s="38" t="str">
        <f t="shared" si="0"/>
        <v>NOV-101-9101</v>
      </c>
      <c r="AJ22" s="38"/>
      <c r="AK22" s="38" t="str">
        <f t="shared" ref="AK22:AK24" si="1">K45</f>
        <v>NOV-101-9101</v>
      </c>
    </row>
    <row r="23" spans="1:37" s="2" customFormat="1" ht="15.75" customHeight="1" x14ac:dyDescent="0.4">
      <c r="A23" s="13" t="s">
        <v>44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45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46</v>
      </c>
      <c r="AI23" s="38">
        <f t="shared" si="0"/>
        <v>165.64</v>
      </c>
      <c r="AJ23" s="38"/>
      <c r="AK23" s="38">
        <f t="shared" si="1"/>
        <v>165.64</v>
      </c>
    </row>
    <row r="24" spans="1:37" s="2" customFormat="1" ht="15.75" customHeight="1" x14ac:dyDescent="0.4">
      <c r="A24" s="43" t="s">
        <v>47</v>
      </c>
      <c r="B24" s="44"/>
      <c r="C24" s="44"/>
      <c r="D24" s="44"/>
      <c r="E24" s="44"/>
      <c r="F24" s="44"/>
      <c r="G24" s="44"/>
      <c r="H24" s="44"/>
      <c r="I24" s="44"/>
      <c r="J24" s="16"/>
      <c r="K24" s="18" t="s">
        <v>48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49</v>
      </c>
      <c r="AI24" s="38">
        <f t="shared" si="0"/>
        <v>101.6</v>
      </c>
      <c r="AJ24" s="38"/>
      <c r="AK24" s="38">
        <f t="shared" si="1"/>
        <v>101.6</v>
      </c>
    </row>
    <row r="25" spans="1:37" s="2" customFormat="1" ht="15.75" customHeight="1" x14ac:dyDescent="0.4">
      <c r="A25" s="13" t="s">
        <v>50</v>
      </c>
      <c r="B25" s="16"/>
      <c r="C25" s="16"/>
      <c r="D25" s="16"/>
      <c r="E25" s="16"/>
      <c r="F25" s="16"/>
      <c r="G25" s="16"/>
      <c r="H25" s="16"/>
      <c r="I25" s="16"/>
      <c r="J25" s="16"/>
      <c r="K25" s="17" t="s">
        <v>51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52</v>
      </c>
      <c r="AI25" s="38">
        <f t="shared" si="0"/>
        <v>45.97</v>
      </c>
      <c r="AJ25" s="38"/>
      <c r="AK25" s="38">
        <f>D48</f>
        <v>45.97</v>
      </c>
    </row>
    <row r="26" spans="1:37" s="2" customFormat="1" ht="15.75" customHeight="1" x14ac:dyDescent="0.4">
      <c r="A26" s="13" t="s">
        <v>53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54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55</v>
      </c>
      <c r="AI26" s="38">
        <f t="shared" si="0"/>
        <v>23.9</v>
      </c>
      <c r="AJ26" s="38"/>
      <c r="AK26" s="38">
        <f>D49</f>
        <v>23.9</v>
      </c>
    </row>
    <row r="27" spans="1:37" s="2" customFormat="1" ht="15.75" customHeight="1" x14ac:dyDescent="0.4">
      <c r="A27" s="43" t="s">
        <v>56</v>
      </c>
      <c r="B27" s="44"/>
      <c r="C27" s="44"/>
      <c r="D27" s="44"/>
      <c r="E27" s="44"/>
      <c r="F27" s="44"/>
      <c r="G27" s="44"/>
      <c r="H27" s="44"/>
      <c r="I27" s="44"/>
      <c r="J27" s="16"/>
      <c r="K27" s="19">
        <v>735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57</v>
      </c>
      <c r="AI27" s="38">
        <f t="shared" si="0"/>
        <v>55.3</v>
      </c>
      <c r="AJ27" s="38"/>
      <c r="AK27" s="38">
        <f>K48</f>
        <v>55.3</v>
      </c>
    </row>
    <row r="28" spans="1:37" s="2" customFormat="1" ht="15.75" customHeight="1" x14ac:dyDescent="0.4">
      <c r="A28" s="43" t="s">
        <v>58</v>
      </c>
      <c r="B28" s="44"/>
      <c r="C28" s="44"/>
      <c r="D28" s="44"/>
      <c r="E28" s="44"/>
      <c r="F28" s="44"/>
      <c r="G28" s="44"/>
      <c r="H28" s="44"/>
      <c r="I28" s="44"/>
      <c r="J28" s="16"/>
      <c r="K28" s="19" t="s">
        <v>59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60</v>
      </c>
      <c r="AI28" s="38">
        <f t="shared" si="0"/>
        <v>33.200000000000003</v>
      </c>
      <c r="AJ28" s="38"/>
      <c r="AK28" s="38">
        <f>K49</f>
        <v>33.200000000000003</v>
      </c>
    </row>
    <row r="29" spans="1:37" s="2" customFormat="1" ht="15.75" customHeight="1" x14ac:dyDescent="0.4">
      <c r="A29" s="13" t="s">
        <v>61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62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63</v>
      </c>
      <c r="AI29" s="38">
        <f t="shared" si="0"/>
        <v>2.4300000000000002</v>
      </c>
      <c r="AJ29" s="38"/>
      <c r="AK29" s="38">
        <f t="shared" ref="AK29:AK37" si="2">K50</f>
        <v>2.4300000000000002</v>
      </c>
    </row>
    <row r="30" spans="1:37" s="2" customFormat="1" ht="15.75" customHeight="1" x14ac:dyDescent="0.4">
      <c r="A30" s="13" t="s">
        <v>64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65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66</v>
      </c>
      <c r="AI30" s="38" t="str">
        <f t="shared" si="0"/>
        <v>Ver curvas</v>
      </c>
      <c r="AJ30" s="38"/>
      <c r="AK30" s="38" t="str">
        <f t="shared" si="2"/>
        <v>Ver curvas</v>
      </c>
    </row>
    <row r="31" spans="1:37" s="2" customFormat="1" ht="15.75" customHeight="1" x14ac:dyDescent="0.5">
      <c r="A31" s="48" t="s">
        <v>67</v>
      </c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68</v>
      </c>
      <c r="AI31" s="38">
        <f t="shared" si="0"/>
        <v>331736.2</v>
      </c>
      <c r="AJ31" s="38"/>
      <c r="AK31" s="38">
        <f t="shared" si="2"/>
        <v>331736.2</v>
      </c>
    </row>
    <row r="32" spans="1:37" s="2" customFormat="1" ht="15.75" customHeight="1" x14ac:dyDescent="0.4">
      <c r="A32" s="20" t="s">
        <v>69</v>
      </c>
      <c r="B32" s="51" t="s">
        <v>70</v>
      </c>
      <c r="C32" s="51"/>
      <c r="D32" s="51"/>
      <c r="E32" s="21" t="s">
        <v>71</v>
      </c>
      <c r="F32" s="22" t="s">
        <v>72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73</v>
      </c>
      <c r="AI32" s="38">
        <f t="shared" si="0"/>
        <v>0</v>
      </c>
      <c r="AJ32" s="38"/>
      <c r="AK32" s="38">
        <f t="shared" si="2"/>
        <v>0</v>
      </c>
    </row>
    <row r="33" spans="1:37" s="2" customFormat="1" ht="15.75" customHeight="1" x14ac:dyDescent="0.4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74</v>
      </c>
      <c r="AI33" s="38" t="str">
        <f t="shared" si="0"/>
        <v>NOV</v>
      </c>
      <c r="AJ33" s="38"/>
      <c r="AK33" s="38" t="str">
        <f t="shared" si="2"/>
        <v>NOV</v>
      </c>
    </row>
    <row r="34" spans="1:37" s="2" customFormat="1" ht="15.75" customHeight="1" x14ac:dyDescent="0.4">
      <c r="A34" s="13" t="s">
        <v>75</v>
      </c>
      <c r="B34" s="8"/>
      <c r="C34" s="51" t="s">
        <v>76</v>
      </c>
      <c r="D34" s="5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77</v>
      </c>
      <c r="AI34" s="38">
        <f t="shared" si="0"/>
        <v>4191.8</v>
      </c>
      <c r="AJ34" s="38"/>
      <c r="AK34" s="38">
        <f t="shared" si="2"/>
        <v>4191.8</v>
      </c>
    </row>
    <row r="35" spans="1:37" s="2" customFormat="1" ht="15.75" customHeight="1" x14ac:dyDescent="0.4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78</v>
      </c>
      <c r="AI35" s="38">
        <f t="shared" si="0"/>
        <v>30</v>
      </c>
      <c r="AJ35" s="38"/>
      <c r="AK35" s="38">
        <f t="shared" si="2"/>
        <v>30</v>
      </c>
    </row>
    <row r="36" spans="1:37" s="2" customFormat="1" ht="15.75" customHeight="1" x14ac:dyDescent="0.4">
      <c r="A36" s="20" t="s">
        <v>79</v>
      </c>
      <c r="B36" s="51" t="s">
        <v>80</v>
      </c>
      <c r="C36" s="51"/>
      <c r="D36" s="51"/>
      <c r="E36" s="21" t="s">
        <v>71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81</v>
      </c>
      <c r="AI36" s="38">
        <f t="shared" si="0"/>
        <v>30</v>
      </c>
      <c r="AJ36" s="38"/>
      <c r="AK36" s="38">
        <f t="shared" si="2"/>
        <v>30</v>
      </c>
    </row>
    <row r="37" spans="1:37" s="2" customFormat="1" ht="15.75" customHeight="1" x14ac:dyDescent="0.4">
      <c r="A37" s="12"/>
      <c r="B37" s="24" t="s">
        <v>82</v>
      </c>
      <c r="C37" s="23" t="s">
        <v>83</v>
      </c>
      <c r="D37" s="23" t="s">
        <v>84</v>
      </c>
      <c r="E37" s="23" t="s">
        <v>85</v>
      </c>
      <c r="F37" s="23" t="s">
        <v>86</v>
      </c>
      <c r="G37" s="23" t="s">
        <v>87</v>
      </c>
      <c r="H37" s="23" t="s">
        <v>88</v>
      </c>
      <c r="I37" s="23" t="s">
        <v>89</v>
      </c>
      <c r="J37" s="23" t="s">
        <v>90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91</v>
      </c>
      <c r="AI37" s="38">
        <f t="shared" si="0"/>
        <v>2.6920000000000002</v>
      </c>
      <c r="AJ37" s="38"/>
      <c r="AK37" s="38">
        <f t="shared" si="2"/>
        <v>2.6920000000000002</v>
      </c>
    </row>
    <row r="38" spans="1:37" s="2" customFormat="1" ht="15.75" customHeight="1" x14ac:dyDescent="0.4">
      <c r="A38" s="20" t="s">
        <v>92</v>
      </c>
      <c r="B38" s="25">
        <v>53</v>
      </c>
      <c r="C38" s="26">
        <v>4126.8</v>
      </c>
      <c r="D38" s="26">
        <v>3590.3160000000003</v>
      </c>
      <c r="E38" s="25">
        <v>4598</v>
      </c>
      <c r="F38" s="25">
        <v>862</v>
      </c>
      <c r="G38" s="25">
        <v>1510</v>
      </c>
      <c r="H38" s="25">
        <v>211</v>
      </c>
      <c r="I38" s="25">
        <v>1556</v>
      </c>
      <c r="J38" s="25">
        <v>1122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93</v>
      </c>
      <c r="AI38" s="38">
        <f t="shared" si="0"/>
        <v>450</v>
      </c>
      <c r="AJ38" s="38"/>
      <c r="AK38" s="38">
        <f>K59</f>
        <v>450</v>
      </c>
    </row>
    <row r="39" spans="1:37" s="2" customFormat="1" ht="15.75" customHeight="1" x14ac:dyDescent="0.4">
      <c r="A39" s="20" t="s">
        <v>94</v>
      </c>
      <c r="B39" s="52" t="s">
        <v>95</v>
      </c>
      <c r="C39" s="52"/>
      <c r="D39" s="52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96</v>
      </c>
      <c r="AI39" s="38">
        <f t="shared" si="0"/>
        <v>133</v>
      </c>
      <c r="AJ39" s="38"/>
      <c r="AK39" s="38">
        <f>K60</f>
        <v>133</v>
      </c>
    </row>
    <row r="40" spans="1:37" s="2" customFormat="1" ht="15.75" customHeight="1" x14ac:dyDescent="0.4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97</v>
      </c>
      <c r="AI40" s="38">
        <f t="shared" si="0"/>
        <v>828</v>
      </c>
      <c r="AJ40" s="38"/>
      <c r="AK40" s="38">
        <f>C62</f>
        <v>828</v>
      </c>
    </row>
    <row r="41" spans="1:37" s="2" customFormat="1" ht="15.75" customHeight="1" x14ac:dyDescent="0.5">
      <c r="A41" s="48" t="s">
        <v>98</v>
      </c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99</v>
      </c>
      <c r="AI41" s="38">
        <f t="shared" si="0"/>
        <v>720</v>
      </c>
      <c r="AJ41" s="38"/>
      <c r="AK41" s="38">
        <f>D62</f>
        <v>720</v>
      </c>
    </row>
    <row r="42" spans="1:37" s="2" customFormat="1" ht="15.75" customHeight="1" x14ac:dyDescent="0.4">
      <c r="A42" s="20" t="s">
        <v>100</v>
      </c>
      <c r="B42" s="53" t="s">
        <v>101</v>
      </c>
      <c r="C42" s="53"/>
      <c r="D42" s="53"/>
      <c r="E42" s="53"/>
      <c r="F42" s="53"/>
      <c r="G42" s="53"/>
      <c r="H42" s="53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102</v>
      </c>
      <c r="AI42" s="38" t="str">
        <f t="shared" si="0"/>
        <v>15163-NOV-9101-4_5_STD Rev. 0</v>
      </c>
      <c r="AJ42" s="38"/>
      <c r="AK42" s="38" t="str">
        <f>E62</f>
        <v>15163-NOV-9101-4_5_STD Rev. 0</v>
      </c>
    </row>
    <row r="43" spans="1:37" s="2" customFormat="1" ht="15.75" customHeight="1" x14ac:dyDescent="0.4">
      <c r="A43" s="20" t="s">
        <v>103</v>
      </c>
      <c r="B43" s="53" t="s">
        <v>104</v>
      </c>
      <c r="C43" s="53"/>
      <c r="D43" s="53"/>
      <c r="E43" s="53"/>
      <c r="F43" s="53"/>
      <c r="G43" s="53"/>
      <c r="H43" s="53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105</v>
      </c>
      <c r="AI43" s="38">
        <f t="shared" si="0"/>
        <v>180.2</v>
      </c>
      <c r="AJ43" s="38"/>
      <c r="AK43" s="38">
        <f>I62</f>
        <v>180.2</v>
      </c>
    </row>
    <row r="44" spans="1:37" s="2" customFormat="1" ht="15.75" customHeight="1" x14ac:dyDescent="0.4">
      <c r="A44" s="43" t="s">
        <v>106</v>
      </c>
      <c r="B44" s="44"/>
      <c r="C44" s="44"/>
      <c r="D44" s="44"/>
      <c r="E44" s="44"/>
      <c r="F44" s="44"/>
      <c r="G44" s="44"/>
      <c r="H44" s="44"/>
      <c r="I44" s="44"/>
      <c r="J44" s="16"/>
      <c r="K44" s="17">
        <v>1975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107</v>
      </c>
      <c r="AI44" s="38">
        <f t="shared" si="0"/>
        <v>1193</v>
      </c>
      <c r="AJ44" s="38"/>
      <c r="AK44" s="38">
        <f>K62</f>
        <v>1193</v>
      </c>
    </row>
    <row r="45" spans="1:37" s="2" customFormat="1" ht="15.75" customHeight="1" x14ac:dyDescent="0.4">
      <c r="A45" s="43" t="s">
        <v>108</v>
      </c>
      <c r="B45" s="44"/>
      <c r="C45" s="44"/>
      <c r="D45" s="44"/>
      <c r="E45" s="44"/>
      <c r="F45" s="44"/>
      <c r="G45" s="44"/>
      <c r="H45" s="44"/>
      <c r="I45" s="44"/>
      <c r="J45" s="16"/>
      <c r="K45" s="17" t="s">
        <v>109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110</v>
      </c>
      <c r="AI45" s="38">
        <f t="shared" si="0"/>
        <v>582</v>
      </c>
      <c r="AJ45" s="38"/>
      <c r="AK45" s="38">
        <f>C63</f>
        <v>582</v>
      </c>
    </row>
    <row r="46" spans="1:37" s="2" customFormat="1" ht="15.75" customHeight="1" x14ac:dyDescent="0.4">
      <c r="A46" s="45" t="s">
        <v>111</v>
      </c>
      <c r="B46" s="46"/>
      <c r="C46" s="46"/>
      <c r="D46" s="46"/>
      <c r="E46" s="46"/>
      <c r="F46" s="46"/>
      <c r="G46" s="46"/>
      <c r="H46" s="46"/>
      <c r="I46" s="46"/>
      <c r="J46" s="27"/>
      <c r="K46" s="28">
        <v>165.64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112</v>
      </c>
      <c r="AI46" s="38">
        <f t="shared" si="0"/>
        <v>156</v>
      </c>
      <c r="AJ46" s="38"/>
      <c r="AK46" s="38">
        <f>D63</f>
        <v>156</v>
      </c>
    </row>
    <row r="47" spans="1:37" s="2" customFormat="1" ht="15.75" customHeight="1" x14ac:dyDescent="0.4">
      <c r="A47" s="45" t="s">
        <v>113</v>
      </c>
      <c r="B47" s="46"/>
      <c r="C47" s="46"/>
      <c r="D47" s="46"/>
      <c r="E47" s="46"/>
      <c r="F47" s="46"/>
      <c r="G47" s="46"/>
      <c r="H47" s="46"/>
      <c r="I47" s="46"/>
      <c r="J47" s="27"/>
      <c r="K47" s="29">
        <v>101.6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114</v>
      </c>
      <c r="AI47" s="38" t="str">
        <f t="shared" si="0"/>
        <v>224254-12427 Rev. 05</v>
      </c>
      <c r="AJ47" s="38"/>
      <c r="AK47" s="38" t="str">
        <f>E63</f>
        <v>224254-12427 Rev. 05</v>
      </c>
    </row>
    <row r="48" spans="1:37" s="2" customFormat="1" ht="15.75" customHeight="1" x14ac:dyDescent="0.4">
      <c r="A48" s="13" t="s">
        <v>115</v>
      </c>
      <c r="B48" s="16"/>
      <c r="C48" s="16"/>
      <c r="D48" s="26">
        <v>45.97</v>
      </c>
      <c r="E48" s="16"/>
      <c r="F48" s="16" t="s">
        <v>116</v>
      </c>
      <c r="G48" s="16"/>
      <c r="H48" s="16"/>
      <c r="I48" s="16"/>
      <c r="J48" s="16"/>
      <c r="K48" s="17">
        <v>55.3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117</v>
      </c>
      <c r="AI48" s="38">
        <f t="shared" si="0"/>
        <v>192</v>
      </c>
      <c r="AJ48" s="38"/>
      <c r="AK48" s="38">
        <f>I63</f>
        <v>192</v>
      </c>
    </row>
    <row r="49" spans="1:37" s="2" customFormat="1" ht="15.75" customHeight="1" x14ac:dyDescent="0.4">
      <c r="A49" s="13" t="s">
        <v>118</v>
      </c>
      <c r="B49" s="8"/>
      <c r="C49" s="8"/>
      <c r="D49" s="26">
        <v>23.9</v>
      </c>
      <c r="E49" s="8"/>
      <c r="F49" s="16" t="s">
        <v>119</v>
      </c>
      <c r="G49" s="8"/>
      <c r="H49" s="8"/>
      <c r="I49" s="8"/>
      <c r="J49" s="8"/>
      <c r="K49" s="17">
        <v>33.200000000000003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120</v>
      </c>
      <c r="AI49" s="38">
        <f t="shared" si="0"/>
        <v>490</v>
      </c>
      <c r="AJ49" s="38"/>
      <c r="AK49" s="38">
        <f>J63</f>
        <v>490</v>
      </c>
    </row>
    <row r="50" spans="1:37" s="2" customFormat="1" ht="15.75" customHeight="1" x14ac:dyDescent="0.4">
      <c r="A50" s="45" t="s">
        <v>121</v>
      </c>
      <c r="B50" s="46"/>
      <c r="C50" s="46"/>
      <c r="D50" s="46"/>
      <c r="E50" s="46"/>
      <c r="F50" s="46"/>
      <c r="G50" s="46"/>
      <c r="H50" s="46"/>
      <c r="I50" s="46"/>
      <c r="J50" s="27"/>
      <c r="K50" s="19">
        <v>2.4300000000000002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122</v>
      </c>
      <c r="AI50" s="38">
        <f t="shared" si="0"/>
        <v>0</v>
      </c>
      <c r="AJ50" s="38"/>
      <c r="AK50" s="38">
        <f>C64</f>
        <v>0</v>
      </c>
    </row>
    <row r="51" spans="1:37" s="2" customFormat="1" ht="15.75" customHeight="1" x14ac:dyDescent="0.4">
      <c r="A51" s="43" t="s">
        <v>123</v>
      </c>
      <c r="B51" s="44"/>
      <c r="C51" s="44"/>
      <c r="D51" s="44"/>
      <c r="E51" s="44"/>
      <c r="F51" s="44"/>
      <c r="G51" s="44"/>
      <c r="H51" s="44"/>
      <c r="I51" s="44"/>
      <c r="J51" s="16"/>
      <c r="K51" s="19" t="s">
        <v>124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125</v>
      </c>
      <c r="AI51" s="38">
        <f t="shared" si="0"/>
        <v>0</v>
      </c>
      <c r="AJ51" s="38"/>
      <c r="AK51" s="38">
        <f>D64</f>
        <v>0</v>
      </c>
    </row>
    <row r="52" spans="1:37" s="2" customFormat="1" ht="15.75" customHeight="1" x14ac:dyDescent="0.4">
      <c r="A52" s="43" t="s">
        <v>126</v>
      </c>
      <c r="B52" s="44"/>
      <c r="C52" s="44"/>
      <c r="D52" s="44"/>
      <c r="E52" s="44"/>
      <c r="F52" s="44"/>
      <c r="G52" s="44"/>
      <c r="H52" s="44"/>
      <c r="I52" s="44"/>
      <c r="J52" s="16"/>
      <c r="K52" s="19">
        <v>331736.2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127</v>
      </c>
      <c r="AI52" s="38" t="str">
        <f t="shared" si="0"/>
        <v xml:space="preserve">DE-F-05-J-0158 Rev. </v>
      </c>
      <c r="AJ52" s="38"/>
      <c r="AK52" s="38" t="str">
        <f>E64</f>
        <v xml:space="preserve">DE-F-05-J-0158 Rev. </v>
      </c>
    </row>
    <row r="53" spans="1:37" s="2" customFormat="1" ht="15.75" customHeight="1" x14ac:dyDescent="0.4">
      <c r="A53" s="13" t="s">
        <v>128</v>
      </c>
      <c r="B53" s="16"/>
      <c r="C53" s="16"/>
      <c r="D53" s="16"/>
      <c r="E53" s="16"/>
      <c r="F53" s="16"/>
      <c r="G53" s="16"/>
      <c r="H53" s="16"/>
      <c r="I53" s="16"/>
      <c r="J53" s="16"/>
      <c r="K53" s="30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129</v>
      </c>
      <c r="AI53" s="38">
        <f t="shared" si="0"/>
        <v>92</v>
      </c>
      <c r="AJ53" s="38"/>
      <c r="AK53" s="38">
        <f>C65</f>
        <v>92</v>
      </c>
    </row>
    <row r="54" spans="1:37" s="2" customFormat="1" ht="15.75" customHeight="1" x14ac:dyDescent="0.4">
      <c r="A54" s="13" t="s">
        <v>130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131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132</v>
      </c>
      <c r="AI54" s="38">
        <f t="shared" si="0"/>
        <v>80.040000000000006</v>
      </c>
      <c r="AJ54" s="38"/>
      <c r="AK54" s="38">
        <f>D65</f>
        <v>80.040000000000006</v>
      </c>
    </row>
    <row r="55" spans="1:37" s="2" customFormat="1" ht="15.75" customHeight="1" x14ac:dyDescent="0.4">
      <c r="A55" s="20" t="s">
        <v>133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4191.8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134</v>
      </c>
      <c r="AI55" s="38" t="str">
        <f t="shared" si="0"/>
        <v>15762-DWG-CP-102 Rev. A</v>
      </c>
      <c r="AJ55" s="38"/>
      <c r="AK55" s="38" t="str">
        <f>E65</f>
        <v>15762-DWG-CP-102 Rev. A</v>
      </c>
    </row>
    <row r="56" spans="1:37" s="2" customFormat="1" ht="15.75" customHeight="1" x14ac:dyDescent="0.4">
      <c r="A56" s="20" t="s">
        <v>135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30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136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 x14ac:dyDescent="0.4">
      <c r="A57" s="20" t="s">
        <v>137</v>
      </c>
      <c r="B57" s="8"/>
      <c r="C57" s="8"/>
      <c r="D57" s="16"/>
      <c r="E57" s="16"/>
      <c r="F57" s="16"/>
      <c r="G57" s="8"/>
      <c r="H57" s="8"/>
      <c r="I57" s="8"/>
      <c r="J57" s="8"/>
      <c r="K57" s="31">
        <v>30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 x14ac:dyDescent="0.4">
      <c r="A58" s="20" t="s">
        <v>138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2.6920000000000002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 x14ac:dyDescent="0.4">
      <c r="A59" s="20" t="s">
        <v>139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450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 x14ac:dyDescent="0.4">
      <c r="A60" s="20" t="s">
        <v>140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133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 x14ac:dyDescent="0.4">
      <c r="A61" s="13"/>
      <c r="B61" s="23" t="s">
        <v>82</v>
      </c>
      <c r="C61" s="16" t="s">
        <v>141</v>
      </c>
      <c r="D61" s="16" t="s">
        <v>84</v>
      </c>
      <c r="E61" s="47" t="s">
        <v>142</v>
      </c>
      <c r="F61" s="47"/>
      <c r="G61" s="47" t="s">
        <v>143</v>
      </c>
      <c r="H61" s="47"/>
      <c r="I61" s="23" t="s">
        <v>144</v>
      </c>
      <c r="J61" s="23" t="s">
        <v>145</v>
      </c>
      <c r="K61" s="32" t="s">
        <v>146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 x14ac:dyDescent="0.4">
      <c r="A62" s="13" t="s">
        <v>147</v>
      </c>
      <c r="B62" s="25">
        <v>32</v>
      </c>
      <c r="C62" s="33">
        <v>828</v>
      </c>
      <c r="D62" s="33">
        <v>720</v>
      </c>
      <c r="E62" s="41" t="s">
        <v>148</v>
      </c>
      <c r="F62" s="41"/>
      <c r="G62" s="8"/>
      <c r="H62" s="16"/>
      <c r="I62" s="34">
        <v>180.2</v>
      </c>
      <c r="J62" s="23"/>
      <c r="K62" s="17">
        <v>1193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 x14ac:dyDescent="0.4">
      <c r="A63" s="13" t="s">
        <v>149</v>
      </c>
      <c r="B63" s="25">
        <v>40</v>
      </c>
      <c r="C63" s="33">
        <v>582</v>
      </c>
      <c r="D63" s="33">
        <v>156</v>
      </c>
      <c r="E63" s="41" t="s">
        <v>150</v>
      </c>
      <c r="F63" s="41"/>
      <c r="G63" s="8"/>
      <c r="H63" s="16"/>
      <c r="I63" s="34">
        <v>192</v>
      </c>
      <c r="J63" s="34">
        <v>490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 x14ac:dyDescent="0.4">
      <c r="A64" s="13" t="s">
        <v>151</v>
      </c>
      <c r="B64" s="25">
        <v>48</v>
      </c>
      <c r="C64" s="33">
        <v>0</v>
      </c>
      <c r="D64" s="33">
        <v>0</v>
      </c>
      <c r="E64" s="41" t="s">
        <v>152</v>
      </c>
      <c r="F64" s="41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 x14ac:dyDescent="0.4">
      <c r="A65" s="13" t="s">
        <v>153</v>
      </c>
      <c r="B65" s="25">
        <v>42</v>
      </c>
      <c r="C65" s="33">
        <v>92</v>
      </c>
      <c r="D65" s="33">
        <v>80.040000000000006</v>
      </c>
      <c r="E65" s="41" t="s">
        <v>154</v>
      </c>
      <c r="F65" s="41"/>
      <c r="G65" s="42">
        <v>0</v>
      </c>
      <c r="H65" s="42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 x14ac:dyDescent="0.45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 x14ac:dyDescent="0.4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 x14ac:dyDescent="0.4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 x14ac:dyDescent="0.4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 x14ac:dyDescent="0.4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 x14ac:dyDescent="0.4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 x14ac:dyDescent="0.4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 x14ac:dyDescent="0.4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 x14ac:dyDescent="0.4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 x14ac:dyDescent="0.4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 x14ac:dyDescent="0.4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 x14ac:dyDescent="0.4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 x14ac:dyDescent="0.4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 x14ac:dyDescent="0.4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 x14ac:dyDescent="0.4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 x14ac:dyDescent="0.4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 x14ac:dyDescent="0.4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 x14ac:dyDescent="0.4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 x14ac:dyDescent="0.4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 x14ac:dyDescent="0.4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 x14ac:dyDescent="0.4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 x14ac:dyDescent="0.4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 x14ac:dyDescent="0.4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 x14ac:dyDescent="0.4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 x14ac:dyDescent="0.4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 x14ac:dyDescent="0.4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 x14ac:dyDescent="0.4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 x14ac:dyDescent="0.4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 x14ac:dyDescent="0.4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 x14ac:dyDescent="0.4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 x14ac:dyDescent="0.4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 x14ac:dyDescent="0.4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 x14ac:dyDescent="0.4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 x14ac:dyDescent="0.4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 x14ac:dyDescent="0.4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 x14ac:dyDescent="0.4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 x14ac:dyDescent="0.4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 x14ac:dyDescent="0.4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 x14ac:dyDescent="0.4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 x14ac:dyDescent="0.4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 x14ac:dyDescent="0.4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 x14ac:dyDescent="0.4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 x14ac:dyDescent="0.4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 x14ac:dyDescent="0.4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 x14ac:dyDescent="0.4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 x14ac:dyDescent="0.4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 x14ac:dyDescent="0.4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 x14ac:dyDescent="0.4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 x14ac:dyDescent="0.4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 x14ac:dyDescent="0.4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 x14ac:dyDescent="0.4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 x14ac:dyDescent="0.4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 x14ac:dyDescent="0.4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 x14ac:dyDescent="0.4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 x14ac:dyDescent="0.4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 x14ac:dyDescent="0.4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 x14ac:dyDescent="0.4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 x14ac:dyDescent="0.4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 x14ac:dyDescent="0.4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 x14ac:dyDescent="0.4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 x14ac:dyDescent="0.4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 x14ac:dyDescent="0.4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 x14ac:dyDescent="0.4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 x14ac:dyDescent="0.4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 x14ac:dyDescent="0.4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 x14ac:dyDescent="0.4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 x14ac:dyDescent="0.4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 x14ac:dyDescent="0.4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 x14ac:dyDescent="0.4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 x14ac:dyDescent="0.4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 x14ac:dyDescent="0.4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 x14ac:dyDescent="0.4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 x14ac:dyDescent="0.4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 x14ac:dyDescent="0.4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 x14ac:dyDescent="0.4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 x14ac:dyDescent="0.4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 x14ac:dyDescent="0.4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 x14ac:dyDescent="0.4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 x14ac:dyDescent="0.4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 x14ac:dyDescent="0.4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 x14ac:dyDescent="0.4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 x14ac:dyDescent="0.4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 x14ac:dyDescent="0.4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 x14ac:dyDescent="0.4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 x14ac:dyDescent="0.4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 x14ac:dyDescent="0.4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 x14ac:dyDescent="0.4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 x14ac:dyDescent="0.4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 x14ac:dyDescent="0.4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 x14ac:dyDescent="0.4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 x14ac:dyDescent="0.4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 x14ac:dyDescent="0.4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 x14ac:dyDescent="0.4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 x14ac:dyDescent="0.4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 x14ac:dyDescent="0.4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 x14ac:dyDescent="0.4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 x14ac:dyDescent="0.4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 x14ac:dyDescent="0.4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 x14ac:dyDescent="0.4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 x14ac:dyDescent="0.4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 x14ac:dyDescent="0.4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 x14ac:dyDescent="0.4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 x14ac:dyDescent="0.4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 x14ac:dyDescent="0.4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 x14ac:dyDescent="0.4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 x14ac:dyDescent="0.4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 x14ac:dyDescent="0.4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 x14ac:dyDescent="0.4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 x14ac:dyDescent="0.4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 x14ac:dyDescent="0.4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 x14ac:dyDescent="0.4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 x14ac:dyDescent="0.4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 x14ac:dyDescent="0.4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 x14ac:dyDescent="0.4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 x14ac:dyDescent="0.4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 x14ac:dyDescent="0.4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 x14ac:dyDescent="0.4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 x14ac:dyDescent="0.4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 x14ac:dyDescent="0.4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 x14ac:dyDescent="0.4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 x14ac:dyDescent="0.4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 x14ac:dyDescent="0.4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 x14ac:dyDescent="0.4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 x14ac:dyDescent="0.4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 x14ac:dyDescent="0.4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 x14ac:dyDescent="0.4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 x14ac:dyDescent="0.4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 x14ac:dyDescent="0.4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 x14ac:dyDescent="0.4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 x14ac:dyDescent="0.4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 x14ac:dyDescent="0.4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 x14ac:dyDescent="0.4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 x14ac:dyDescent="0.4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 x14ac:dyDescent="0.4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 x14ac:dyDescent="0.4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 x14ac:dyDescent="0.4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 x14ac:dyDescent="0.4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 x14ac:dyDescent="0.4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 x14ac:dyDescent="0.4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 x14ac:dyDescent="0.4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 x14ac:dyDescent="0.4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 x14ac:dyDescent="0.4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 x14ac:dyDescent="0.4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 x14ac:dyDescent="0.4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 x14ac:dyDescent="0.4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 x14ac:dyDescent="0.4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 x14ac:dyDescent="0.4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 x14ac:dyDescent="0.4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 x14ac:dyDescent="0.4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 x14ac:dyDescent="0.4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 x14ac:dyDescent="0.4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 x14ac:dyDescent="0.4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 x14ac:dyDescent="0.4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 x14ac:dyDescent="0.4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 x14ac:dyDescent="0.4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 x14ac:dyDescent="0.4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 x14ac:dyDescent="0.4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 x14ac:dyDescent="0.4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 x14ac:dyDescent="0.4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 x14ac:dyDescent="0.4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 x14ac:dyDescent="0.4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 x14ac:dyDescent="0.4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 x14ac:dyDescent="0.4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 x14ac:dyDescent="0.4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 x14ac:dyDescent="0.4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 x14ac:dyDescent="0.4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 x14ac:dyDescent="0.4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 x14ac:dyDescent="0.4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 x14ac:dyDescent="0.4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 x14ac:dyDescent="0.4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 x14ac:dyDescent="0.4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 x14ac:dyDescent="0.4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 x14ac:dyDescent="0.4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 x14ac:dyDescent="0.4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 x14ac:dyDescent="0.4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 x14ac:dyDescent="0.4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 x14ac:dyDescent="0.4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 x14ac:dyDescent="0.4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 x14ac:dyDescent="0.4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 x14ac:dyDescent="0.4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 x14ac:dyDescent="0.4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 x14ac:dyDescent="0.4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 x14ac:dyDescent="0.4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 x14ac:dyDescent="0.4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 x14ac:dyDescent="0.4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 x14ac:dyDescent="0.4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 x14ac:dyDescent="0.4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 x14ac:dyDescent="0.4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 x14ac:dyDescent="0.4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 x14ac:dyDescent="0.4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 x14ac:dyDescent="0.4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 x14ac:dyDescent="0.4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 x14ac:dyDescent="0.4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 x14ac:dyDescent="0.4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 x14ac:dyDescent="0.4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 x14ac:dyDescent="0.4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 x14ac:dyDescent="0.4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 x14ac:dyDescent="0.4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 x14ac:dyDescent="0.4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 x14ac:dyDescent="0.4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 x14ac:dyDescent="0.4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 x14ac:dyDescent="0.4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 x14ac:dyDescent="0.4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 x14ac:dyDescent="0.4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 x14ac:dyDescent="0.4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 x14ac:dyDescent="0.4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 x14ac:dyDescent="0.4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 x14ac:dyDescent="0.4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 x14ac:dyDescent="0.4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 x14ac:dyDescent="0.4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 x14ac:dyDescent="0.4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 x14ac:dyDescent="0.4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 x14ac:dyDescent="0.4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 x14ac:dyDescent="0.4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 x14ac:dyDescent="0.4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 x14ac:dyDescent="0.4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 x14ac:dyDescent="0.4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 x14ac:dyDescent="0.4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 x14ac:dyDescent="0.4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 x14ac:dyDescent="0.4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 x14ac:dyDescent="0.4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 x14ac:dyDescent="0.4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 x14ac:dyDescent="0.4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 x14ac:dyDescent="0.4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 x14ac:dyDescent="0.4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 x14ac:dyDescent="0.4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 x14ac:dyDescent="0.4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 x14ac:dyDescent="0.4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 x14ac:dyDescent="0.4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 x14ac:dyDescent="0.4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 x14ac:dyDescent="0.4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 x14ac:dyDescent="0.4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 x14ac:dyDescent="0.4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 x14ac:dyDescent="0.4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 x14ac:dyDescent="0.4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 x14ac:dyDescent="0.4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 x14ac:dyDescent="0.4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 x14ac:dyDescent="0.4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 x14ac:dyDescent="0.4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 x14ac:dyDescent="0.4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 x14ac:dyDescent="0.4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 x14ac:dyDescent="0.4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 x14ac:dyDescent="0.4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 x14ac:dyDescent="0.4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 x14ac:dyDescent="0.4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 x14ac:dyDescent="0.4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 x14ac:dyDescent="0.4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 x14ac:dyDescent="0.4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 x14ac:dyDescent="0.4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 x14ac:dyDescent="0.4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 x14ac:dyDescent="0.4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 x14ac:dyDescent="0.4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 x14ac:dyDescent="0.4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 x14ac:dyDescent="0.4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 x14ac:dyDescent="0.4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 x14ac:dyDescent="0.4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 x14ac:dyDescent="0.4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 x14ac:dyDescent="0.4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 x14ac:dyDescent="0.4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 x14ac:dyDescent="0.4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 x14ac:dyDescent="0.4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 x14ac:dyDescent="0.4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 x14ac:dyDescent="0.4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 x14ac:dyDescent="0.4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 x14ac:dyDescent="0.4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 x14ac:dyDescent="0.4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 x14ac:dyDescent="0.4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 x14ac:dyDescent="0.4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 x14ac:dyDescent="0.4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 x14ac:dyDescent="0.4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 x14ac:dyDescent="0.4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 x14ac:dyDescent="0.4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 x14ac:dyDescent="0.4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 x14ac:dyDescent="0.4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 x14ac:dyDescent="0.4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 x14ac:dyDescent="0.4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 x14ac:dyDescent="0.4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 x14ac:dyDescent="0.4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 x14ac:dyDescent="0.4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 x14ac:dyDescent="0.4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 x14ac:dyDescent="0.4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 x14ac:dyDescent="0.4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 x14ac:dyDescent="0.4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 x14ac:dyDescent="0.4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 x14ac:dyDescent="0.4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 x14ac:dyDescent="0.4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 x14ac:dyDescent="0.4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 x14ac:dyDescent="0.4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 x14ac:dyDescent="0.4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 x14ac:dyDescent="0.4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 x14ac:dyDescent="0.4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 x14ac:dyDescent="0.4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 x14ac:dyDescent="0.4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 x14ac:dyDescent="0.4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 x14ac:dyDescent="0.4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 x14ac:dyDescent="0.4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 x14ac:dyDescent="0.4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 x14ac:dyDescent="0.4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 x14ac:dyDescent="0.4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 x14ac:dyDescent="0.4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 x14ac:dyDescent="0.4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 x14ac:dyDescent="0.4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 x14ac:dyDescent="0.4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 x14ac:dyDescent="0.4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 x14ac:dyDescent="0.4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 x14ac:dyDescent="0.4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 x14ac:dyDescent="0.4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 x14ac:dyDescent="0.4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 x14ac:dyDescent="0.4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 x14ac:dyDescent="0.4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 x14ac:dyDescent="0.4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 x14ac:dyDescent="0.4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 x14ac:dyDescent="0.4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 x14ac:dyDescent="0.4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 x14ac:dyDescent="0.4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 x14ac:dyDescent="0.4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 x14ac:dyDescent="0.4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 x14ac:dyDescent="0.4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 x14ac:dyDescent="0.4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 x14ac:dyDescent="0.4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 x14ac:dyDescent="0.4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 x14ac:dyDescent="0.4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 x14ac:dyDescent="0.4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 x14ac:dyDescent="0.4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 x14ac:dyDescent="0.4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 x14ac:dyDescent="0.4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 x14ac:dyDescent="0.4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 x14ac:dyDescent="0.4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 x14ac:dyDescent="0.4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 x14ac:dyDescent="0.4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 x14ac:dyDescent="0.4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 x14ac:dyDescent="0.4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 x14ac:dyDescent="0.4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 x14ac:dyDescent="0.4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 x14ac:dyDescent="0.4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 x14ac:dyDescent="0.4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 x14ac:dyDescent="0.4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 x14ac:dyDescent="0.4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 x14ac:dyDescent="0.4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 x14ac:dyDescent="0.4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 x14ac:dyDescent="0.4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 x14ac:dyDescent="0.4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 x14ac:dyDescent="0.4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 x14ac:dyDescent="0.4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 x14ac:dyDescent="0.4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 x14ac:dyDescent="0.4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 x14ac:dyDescent="0.4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 x14ac:dyDescent="0.4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 x14ac:dyDescent="0.4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 x14ac:dyDescent="0.4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 x14ac:dyDescent="0.4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 x14ac:dyDescent="0.4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 x14ac:dyDescent="0.4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 x14ac:dyDescent="0.4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 x14ac:dyDescent="0.4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 x14ac:dyDescent="0.4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 x14ac:dyDescent="0.4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 x14ac:dyDescent="0.4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 x14ac:dyDescent="0.4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 x14ac:dyDescent="0.4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 x14ac:dyDescent="0.4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 x14ac:dyDescent="0.4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 x14ac:dyDescent="0.4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 x14ac:dyDescent="0.4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 x14ac:dyDescent="0.4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 x14ac:dyDescent="0.4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 x14ac:dyDescent="0.4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 x14ac:dyDescent="0.4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 x14ac:dyDescent="0.4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 x14ac:dyDescent="0.4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 x14ac:dyDescent="0.4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 x14ac:dyDescent="0.4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 x14ac:dyDescent="0.4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 x14ac:dyDescent="0.4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 x14ac:dyDescent="0.4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 x14ac:dyDescent="0.4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 x14ac:dyDescent="0.4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 x14ac:dyDescent="0.4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 x14ac:dyDescent="0.4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 x14ac:dyDescent="0.4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 x14ac:dyDescent="0.4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 x14ac:dyDescent="0.4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 x14ac:dyDescent="0.4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 x14ac:dyDescent="0.4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 x14ac:dyDescent="0.4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 x14ac:dyDescent="0.4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 x14ac:dyDescent="0.4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 x14ac:dyDescent="0.4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 x14ac:dyDescent="0.4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 x14ac:dyDescent="0.4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 x14ac:dyDescent="0.4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 x14ac:dyDescent="0.4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 x14ac:dyDescent="0.4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 x14ac:dyDescent="0.4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 x14ac:dyDescent="0.4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 x14ac:dyDescent="0.4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 x14ac:dyDescent="0.4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 x14ac:dyDescent="0.4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 x14ac:dyDescent="0.4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 x14ac:dyDescent="0.4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 x14ac:dyDescent="0.4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 x14ac:dyDescent="0.4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 x14ac:dyDescent="0.4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 x14ac:dyDescent="0.4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 x14ac:dyDescent="0.4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 x14ac:dyDescent="0.4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 x14ac:dyDescent="0.4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 x14ac:dyDescent="0.4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 x14ac:dyDescent="0.4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 x14ac:dyDescent="0.4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 x14ac:dyDescent="0.4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 x14ac:dyDescent="0.4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 x14ac:dyDescent="0.4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 x14ac:dyDescent="0.4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 x14ac:dyDescent="0.4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 x14ac:dyDescent="0.4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 x14ac:dyDescent="0.4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 x14ac:dyDescent="0.4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 x14ac:dyDescent="0.4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 x14ac:dyDescent="0.4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 x14ac:dyDescent="0.4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 x14ac:dyDescent="0.4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 x14ac:dyDescent="0.4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 x14ac:dyDescent="0.4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 x14ac:dyDescent="0.4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 x14ac:dyDescent="0.4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 x14ac:dyDescent="0.4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 x14ac:dyDescent="0.4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 x14ac:dyDescent="0.4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 x14ac:dyDescent="0.4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 x14ac:dyDescent="0.4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 x14ac:dyDescent="0.4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 x14ac:dyDescent="0.4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 x14ac:dyDescent="0.4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 x14ac:dyDescent="0.4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 x14ac:dyDescent="0.4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 x14ac:dyDescent="0.4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 x14ac:dyDescent="0.4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 x14ac:dyDescent="0.4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 x14ac:dyDescent="0.4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 x14ac:dyDescent="0.4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 x14ac:dyDescent="0.4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 x14ac:dyDescent="0.4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 x14ac:dyDescent="0.4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 x14ac:dyDescent="0.4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 x14ac:dyDescent="0.4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 x14ac:dyDescent="0.4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 x14ac:dyDescent="0.4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 x14ac:dyDescent="0.4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 x14ac:dyDescent="0.4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 x14ac:dyDescent="0.4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 x14ac:dyDescent="0.4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 x14ac:dyDescent="0.4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 x14ac:dyDescent="0.4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 x14ac:dyDescent="0.4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 x14ac:dyDescent="0.4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 x14ac:dyDescent="0.4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 x14ac:dyDescent="0.4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 x14ac:dyDescent="0.4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 x14ac:dyDescent="0.4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 x14ac:dyDescent="0.4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 x14ac:dyDescent="0.4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 x14ac:dyDescent="0.4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 x14ac:dyDescent="0.4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 x14ac:dyDescent="0.4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 x14ac:dyDescent="0.4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 x14ac:dyDescent="0.4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 x14ac:dyDescent="0.4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 x14ac:dyDescent="0.4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 x14ac:dyDescent="0.4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 x14ac:dyDescent="0.4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 x14ac:dyDescent="0.4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 x14ac:dyDescent="0.4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 x14ac:dyDescent="0.4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 x14ac:dyDescent="0.4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 x14ac:dyDescent="0.4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 x14ac:dyDescent="0.4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 x14ac:dyDescent="0.4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 x14ac:dyDescent="0.4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 x14ac:dyDescent="0.4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 x14ac:dyDescent="0.4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 x14ac:dyDescent="0.4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 x14ac:dyDescent="0.4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 x14ac:dyDescent="0.4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 x14ac:dyDescent="0.4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 x14ac:dyDescent="0.4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 x14ac:dyDescent="0.4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 x14ac:dyDescent="0.4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 x14ac:dyDescent="0.4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 x14ac:dyDescent="0.4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 x14ac:dyDescent="0.4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 x14ac:dyDescent="0.4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 x14ac:dyDescent="0.4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 x14ac:dyDescent="0.4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 x14ac:dyDescent="0.4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 x14ac:dyDescent="0.4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 x14ac:dyDescent="0.4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 x14ac:dyDescent="0.4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 x14ac:dyDescent="0.4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 x14ac:dyDescent="0.4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 x14ac:dyDescent="0.4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 x14ac:dyDescent="0.4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 x14ac:dyDescent="0.4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 x14ac:dyDescent="0.4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 x14ac:dyDescent="0.4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 x14ac:dyDescent="0.4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 x14ac:dyDescent="0.4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 x14ac:dyDescent="0.4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 x14ac:dyDescent="0.4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 x14ac:dyDescent="0.4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 x14ac:dyDescent="0.4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 x14ac:dyDescent="0.4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 x14ac:dyDescent="0.4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 x14ac:dyDescent="0.4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 x14ac:dyDescent="0.4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 x14ac:dyDescent="0.4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 x14ac:dyDescent="0.4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 x14ac:dyDescent="0.4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 x14ac:dyDescent="0.4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 x14ac:dyDescent="0.4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 x14ac:dyDescent="0.4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 x14ac:dyDescent="0.4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 x14ac:dyDescent="0.4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 x14ac:dyDescent="0.4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 x14ac:dyDescent="0.4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 x14ac:dyDescent="0.4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 x14ac:dyDescent="0.4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 x14ac:dyDescent="0.4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 x14ac:dyDescent="0.4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 x14ac:dyDescent="0.4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 x14ac:dyDescent="0.4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 x14ac:dyDescent="0.4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 x14ac:dyDescent="0.4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 x14ac:dyDescent="0.4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 x14ac:dyDescent="0.4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 x14ac:dyDescent="0.4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 x14ac:dyDescent="0.4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 x14ac:dyDescent="0.4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 x14ac:dyDescent="0.4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 x14ac:dyDescent="0.4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 x14ac:dyDescent="0.4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 x14ac:dyDescent="0.4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 x14ac:dyDescent="0.4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 x14ac:dyDescent="0.4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 x14ac:dyDescent="0.4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 x14ac:dyDescent="0.4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 x14ac:dyDescent="0.4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 x14ac:dyDescent="0.4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 x14ac:dyDescent="0.4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 x14ac:dyDescent="0.4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 x14ac:dyDescent="0.4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 x14ac:dyDescent="0.4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 x14ac:dyDescent="0.4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 x14ac:dyDescent="0.4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 x14ac:dyDescent="0.4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 x14ac:dyDescent="0.4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 x14ac:dyDescent="0.4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 x14ac:dyDescent="0.4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 x14ac:dyDescent="0.4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 x14ac:dyDescent="0.4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 x14ac:dyDescent="0.4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5E2B93-2283-4118-8B1C-0EC10E1906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6A5233-7778-4B54-912D-AFA6F03A4052}">
  <ds:schemaRefs>
    <ds:schemaRef ds:uri="http://schemas.microsoft.com/office/2006/metadata/properties"/>
    <ds:schemaRef ds:uri="http://schemas.microsoft.com/office/infopath/2007/PartnerControls"/>
    <ds:schemaRef ds:uri="7240fca1-d5d8-4b7d-af8f-d58b11c87bd0"/>
    <ds:schemaRef ds:uri="e22693a2-11d8-4e06-9932-42f8499655b9"/>
  </ds:schemaRefs>
</ds:datastoreItem>
</file>

<file path=customXml/itemProps3.xml><?xml version="1.0" encoding="utf-8"?>
<ds:datastoreItem xmlns:ds="http://schemas.openxmlformats.org/officeDocument/2006/customXml" ds:itemID="{68BDE1AC-63C4-42E2-AA93-579C0131E37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CVD, CHD ou DCVD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Isis Santos</cp:lastModifiedBy>
  <cp:revision/>
  <dcterms:created xsi:type="dcterms:W3CDTF">2023-08-09T12:58:42Z</dcterms:created>
  <dcterms:modified xsi:type="dcterms:W3CDTF">2024-07-11T19:08:38Z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